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OrderForm" sheetId="1" r:id="rId1"/>
  </sheets>
  <calcPr fullCalcOnLoad="1"/>
</workbook>
</file>

<file path=xl/sharedStrings.xml><?xml version="1.0" encoding="utf-8"?>
<sst xmlns="http://schemas.openxmlformats.org/spreadsheetml/2006/main" count="863" uniqueCount="863">
  <si>
    <t>Category</t>
  </si>
  <si>
    <t>Product Line</t>
  </si>
  <si>
    <t>Product Description</t>
  </si>
  <si>
    <t>Pack Size</t>
  </si>
  <si>
    <t>Brand</t>
  </si>
  <si>
    <t>Product Code</t>
  </si>
  <si>
    <t>Price Per UOM</t>
  </si>
  <si>
    <t>UOM</t>
  </si>
  <si>
    <t>Manual Sort</t>
  </si>
  <si>
    <t>Quantity to Order</t>
  </si>
  <si>
    <t>Contains</t>
  </si>
  <si>
    <t>Does NOT Contain</t>
  </si>
  <si>
    <t>May Contain</t>
  </si>
  <si>
    <t>No info provided</t>
  </si>
  <si>
    <t>BAKING PASTRY</t>
  </si>
  <si>
    <t>PASTRY SWEET</t>
  </si>
  <si>
    <t>SHORTBREAD SHELL ROUND 46MM BAKED</t>
  </si>
  <si>
    <t>120'S</t>
  </si>
  <si>
    <t>READYBAKE</t>
  </si>
  <si>
    <t>CARTON</t>
  </si>
  <si>
    <t>Cereals containing Gluten (and products thereof),Egg and Egg Products,Evaporated Milk, Dried Milk made from Soy or Cereals,Milk and Milk Products,Soybean and Soybean Products,Wheat (as an ingredient)</t>
  </si>
  <si>
    <t>Almonds (as an ingredient),Artificial Colours,Artificial Flavours,Aspartame,Barley (as an ingredient),Bee Pollen,Brazil nuts (as an ingredient),Caffeine,Cashews (as an ingredient),Celery / Celeriac (and products thereof),Crustaceans (and products thereof),Fish and Fish Products,Guarana or extracts of Guarana,Hazelnuts (as an ingredient),Lupine,Macadamia or Queensland nuts (as an ingredient),Molluscs (and products thereof),MSG,Mustard (and products thereof),Oats (as an ingredient),Pecan nuts (as an ingredient),Phytosterol, Phytostanols and Esters,Pine Nuts (as an ingredient),Pistachio nuts (as an ingredient),Propolis,Quinine,Royal Jelly,Rye (as an ingredient),Sulphur Dioxide and Sulphites in concentrations &gt; 10mg/kg (10mg/L),Unpasteurised Egg Products,Unpasteurised Milk and Milk Products,Walnuts (as an ingredient)</t>
  </si>
  <si>
    <t>Peanuts and Peanut Products,Sesame Seeds and Sesame Seed Products,Tree Nuts and Tree Nut Products</t>
  </si>
  <si>
    <t>BAKING SUPPLIES</t>
  </si>
  <si>
    <t>NUTS</t>
  </si>
  <si>
    <t>ALMONDS SLIVERED</t>
  </si>
  <si>
    <t>1 KG</t>
  </si>
  <si>
    <t>CATERERS CHOICE</t>
  </si>
  <si>
    <t>PACKET</t>
  </si>
  <si>
    <t>Almonds (as an ingredient),Tree Nuts and Tree Nut Products</t>
  </si>
  <si>
    <t>Artificial Colours,Artificial Flavours,Aspartame,Barley (as an ingredient),Bee Pollen,Caffeine,Cereals containing Gluten (and products thereof),Crustaceans (and products thereof),Egg and Egg Products,Evaporated Milk, Dried Milk made from Soy or Cereals,Fish and Fish Products,Lupine,Milk and Milk Products,Molluscs (and products thereof),MSG,Oats (as an ingredient),Peanuts and Peanut Products,Phytosterol, Phytostanols and Esters,Propolis,Quinine,Royal Jelly,Rye (as an ingredient),Sesame Seeds and Sesame Seed Products,Soybean and Soybean Products,Sulphur Dioxide and Sulphites in concentrations &gt; 10mg/kg (10mg/L),Unpasteurised Egg Products,Unpasteurised Milk and Milk Products,Wheat (as an ingredient)</t>
  </si>
  <si>
    <t>Brazil nuts (as an ingredient),Cashews (as an ingredient),Hazelnuts (as an ingredient),Macadamia or Queensland nuts (as an ingredient),Pecan nuts (as an ingredient),Pine Nuts (as an ingredient),Pistachio nuts (as an ingredient),Walnuts (as an ingredient)</t>
  </si>
  <si>
    <t>BREADCRUMBS</t>
  </si>
  <si>
    <t>BREADCRUMBS GLUTEN FREE</t>
  </si>
  <si>
    <t>10 KG</t>
  </si>
  <si>
    <t>NEWLY WEDS FOODS</t>
  </si>
  <si>
    <t>BAG</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</si>
  <si>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</si>
  <si>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CHOCOLATE COOKING</t>
  </si>
  <si>
    <t>CHOCOLATE BUTTONS DARK COMPOUND</t>
  </si>
  <si>
    <t>Milk and Milk Products,Soybean and Soybean Products</t>
  </si>
  <si>
    <t>Artificial Colours,Artificial Flavours,Barley (as an ingredient),Crustaceans (and products thereof),Egg and Egg Products,Fish and Fish Products,Lupine,Molluscs (and products thereof),MSG,Oats (as an ingredient),Peanuts and Peanut Products,Rye (as an ingredient),Sesame Seeds and Sesame Seed Products,Sulphur Dioxide and Sulphites in concentrations &gt; 10mg/kg (10mg/L)</t>
  </si>
  <si>
    <t>Almonds (as an ingredient),Brazil nuts (as an ingredient),Cashews (as an ingredient),Cereals containing Gluten (and products thereof),Hazelnuts (as an ingredient),Macadamia or Queensland nuts (as an ingredient),Pecan nuts (as an ingredient),Pine Nuts (as an ingredient),Pistachio nuts (as an ingredient),Tree Nuts and Tree Nut Products,Walnuts (as an ingredient),Wheat (as an ingredient)</t>
  </si>
  <si>
    <t>CORNFLOUR &amp; STARCHES</t>
  </si>
  <si>
    <t>CORNFLOUR MAIZE GLUTEN FREE</t>
  </si>
  <si>
    <t>5 KG</t>
  </si>
  <si>
    <t>EDLYN</t>
  </si>
  <si>
    <t>Artificial Colours,Artificial Flavours,Aspartame,Bee Pollen,Caffeine,Cereals containing Gluten (and products thereof),Crustaceans (and products thereof),Egg and Egg Products,Evaporated Milk, Dried Milk made from Soy or Cereals,Fish and Fish Products,Guarana or extracts of Guarana,Lupine,Milk and Milk Products,MSG,Peanuts and Peanut Products,Phytosterol, Phytostanols and Esters,Propolis,Quinine,Royal Jelly,Sesame Seeds and Sesame Seed Products,Soybean and Soybean Products,Sulphur Dioxide and Sulphites in concentrations &gt; 10mg/kg (10mg/L),Tree Nuts and Tree Nut Products,Unpasteurised Egg Products,Unpasteurised Milk and Milk Products</t>
  </si>
  <si>
    <t>CUSTARD</t>
  </si>
  <si>
    <t>CUSTARD MIX NO BAKE EGG GLUTEN FREE</t>
  </si>
  <si>
    <t>2 KG</t>
  </si>
  <si>
    <t>NESTLE</t>
  </si>
  <si>
    <t>TUB</t>
  </si>
  <si>
    <t>Artificial Flavours,Egg and Egg Products</t>
  </si>
  <si>
    <t>Artificial Colours,Cereals containing Gluten (and products thereof),Fish and Fish Products,Lupine,MSG,Peanuts and Peanut Products,Sesame Seeds and Sesame Seed Products,Tree Nuts and Tree Nut Products</t>
  </si>
  <si>
    <t>CUSTARD POWDER MAIZE GLUTEN FREE</t>
  </si>
  <si>
    <t>Artificial Colours,Artificial Flavours,Milk and Milk Products</t>
  </si>
  <si>
    <t>Aspartame,Bee Pollen,Caffeine,Cereals containing Gluten (and products thereof),Crustaceans (and products thereof),Egg and Egg Products,Evaporated Milk, Dried Milk made from Soy or Cereals,Fish and Fish Products,Guarana or extracts of Guarana,Lupine,MSG,Peanuts and Peanut Products,Phytosterol, Phytostanols and Esters,Propolis,Quinine,Royal Jelly,Sesame Seeds and Sesame Seed Products,Soybean and Soybean Products,Sulphur Dioxide and Sulphites in concentrations &gt; 10mg/kg (10mg/L),Tree Nuts and Tree Nut Products,Unpasteurised Egg Products,Unpasteurised Milk and Milk Products</t>
  </si>
  <si>
    <t>FLOUR</t>
  </si>
  <si>
    <t>FLOUR PLAIN</t>
  </si>
  <si>
    <t>Cereals containing Gluten (and products thereof)</t>
  </si>
  <si>
    <t>Artificial Colours,Artificial Flavours,Aspartame,Bee Pollen,Caffeine,Crustaceans (and products thereof),Egg and Egg Products,Evaporated Milk, Dried Milk made from Soy or Cereals,Fish and Fish Products,Guarana or extracts of Guarana,Lupine,Milk and Milk Products,MSG,Peanuts and Peanut Products,Phytosterol, Phytostanols and Esters,Propolis,Quinine,Royal Jelly,Sesame Seeds and Sesame Seed Products,Soybean and Soybean Products,Sulphur Dioxide and Sulphites in concentrations &gt; 10mg/kg (10mg/L),Tree Nuts and Tree Nut Products</t>
  </si>
  <si>
    <t>FLOUR RICE</t>
  </si>
  <si>
    <t>500 GR</t>
  </si>
  <si>
    <t>ERAWAN</t>
  </si>
  <si>
    <t>FLOUR RICE (COARSE)</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</si>
  <si>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Products,Sulphur Dioxide and Sulphites in concentrations &gt; 10mg/kg (10mg/L),Tree Nuts and Tree Nut Products,Unpasteurised Egg Products,Unpasteurised Milk and Milk Products,Walnuts (as an ingredient),Wheat (as an ingredient)</t>
  </si>
  <si>
    <t>Soybean and Soybean Products</t>
  </si>
  <si>
    <t>FLOUR SELF RAISING</t>
  </si>
  <si>
    <t>Barley (as an ingredient),Cereals containing Gluten (and products thereof),Oats (as an ingredient),Rye (as an ingredient),Wheat (as an ingredient)</t>
  </si>
  <si>
    <t>Almonds (as an ingredient),Artificial Colours,Artificial Flavours,Aspartame,Bee Pollen,Brazil nuts (as an ingredient),Caffeine,Cashews (as an ingredient),Celery / Celeriac (and products thereof),Crustaceans (and products thereof),Evaporated Milk, Dried Milk made from Soy or Cereals,Fish and Fish Products,Guarana or extracts of Guarana,Hazelnuts (as an ingredient),Lupine,Macadamia or Queensland nuts (as an ingredient),Molluscs (and products thereof),MSG,Mustard (and products thereof),Peanuts and Peanut Products,Pecan nuts (as an ingredient),Phytosterol, Phytostanols and Esters,Pine Nuts (as an ingredient),Pistachio nuts (as an ingredient),Propolis,Quinine,Royal Jelly,Sesame Seeds and Sesame Seed Products,Sulphur Dioxide and Sulphites in concentrations &gt; 10mg/kg (10mg/L),Tree Nuts and Tree Nut Products,Unpasteurised Egg Products,Unpasteurised Milk and Milk Products,Walnuts (as an ingredient)</t>
  </si>
  <si>
    <t>Egg and Egg Products,Milk and Milk Products,Soybean and Soybean Products</t>
  </si>
  <si>
    <t>ICING SUGAR &amp; MIX</t>
  </si>
  <si>
    <t>ICING SUGAR MIXTURE</t>
  </si>
  <si>
    <t>3 KG</t>
  </si>
  <si>
    <t>Artificial Colours,Artificial Flavours,Barley (as an ingredient),Crustaceans (and products thereof),Egg and Egg Products,Fish and Fish Products,Lupine,Milk and Milk Products,Molluscs (and products thereof),MSG,Oats (as an ingredient),Peanuts and Peanut Products,Rye (as an ingredient),Sesame Seeds and Sesame Seed Products,Soybean and Soybean Products,Sulphur Dioxide and Sulphites in concentrations &gt; 10mg/kg (10mg/L)</t>
  </si>
  <si>
    <t>MIXES MUFFIN</t>
  </si>
  <si>
    <t>MUFFIN MIX</t>
  </si>
  <si>
    <t>Artificial Flavours,Cereals containing Gluten (and products thereof),Egg and Egg Products,Milk and Milk Products,Wheat (as an ingredient)</t>
  </si>
  <si>
    <t>Almonds (as an ingredient),Artificial Colours,Aspartame,Barley (as an ingredient),Bee Pollen,Brazil nuts (as an ingredient),Caffeine,Cashews (as an ingredient),Crustaceans (and products thereof),Evaporated Milk, Dried Milk made from Soy or Cereals,Fish and Fish Products,Hazelnuts (as an ingredient),Lupine,Macadamia or Queensland nuts (as an ingredient),Molluscs (and products thereof),MSG,Oats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t>
  </si>
  <si>
    <t>FRUIT PIE FILLINGS</t>
  </si>
  <si>
    <t>PATISSERIE FILLING CUSTARD CREME FLAVOURED</t>
  </si>
  <si>
    <t>1.25 KG</t>
  </si>
  <si>
    <t>BARKERS</t>
  </si>
  <si>
    <t>Artificial Colours</t>
  </si>
  <si>
    <t>Almonds (as an ingredient),Artificial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</si>
  <si>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PINE NUTS TOASTED</t>
  </si>
  <si>
    <t>TRUMPS</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</si>
  <si>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ingredient),Pecan nuts (as an ingredient),Phytosterol, Phytostanols and Esters,Pine Nuts (as an ingredient),Pistachio nuts (as an ingredient),Propolis,Quinine,Royal Jelly,Rye (as an ingredient),Sesame Seeds and Sesame Seed Products,Sulphur Dioxide and Sulphites in concentrations &gt; 10mg/kg (10mg/L),Unpasteurised Egg Products,Unpasteurised Milk and Milk Products,Walnuts (as an ingredient),Wheat (as an ingredient)</t>
  </si>
  <si>
    <t>Peanuts and Peanut Products,Soybean and Soybean Products,Tree Nuts and Tree Nut Products</t>
  </si>
  <si>
    <t>PISTACHIO KERNELS NO SHELL</t>
  </si>
  <si>
    <t>Pistachio nuts (as an ingredient),Tree Nuts and Tree Nut Products</t>
  </si>
  <si>
    <t>Almonds (as an ingredient),Brazil nuts (as an ingredient),Cashews (as an ingredient),Hazelnuts (as an ingredient),Macadamia or Queensland nuts (as an ingredient),Pecan nuts (as an ingredient),Pine Nuts (as an ingredient),Walnuts (as an ingredient)</t>
  </si>
  <si>
    <t>MIXES BREAD</t>
  </si>
  <si>
    <t>PREMIX BREAD &amp; ROLL WHITE EXTRA SOFT</t>
  </si>
  <si>
    <t>12.5 KG</t>
  </si>
  <si>
    <t>ALLIED PINNACLE</t>
  </si>
  <si>
    <t>Cereals containing Gluten (and products thereof),Milk and Milk Products,Soybean and Soybean Products</t>
  </si>
  <si>
    <t>Artificial Colours,Artificial Flavours,Aspartame,Bee Pollen,Caffeine,Crustaceans (and products thereof),Egg and Egg Products,Evaporated Milk, Dried Milk made from Soy or Cereals,Fish and Fish Products,Guarana or extracts of Guarana,Lupine,MSG,Peanuts and Peanut Products,Phytosterol, Phytostanols and Esters,Propolis,Quinine,Royal Jelly,Sesame Seeds and Sesame Seed Products,Sulphur Dioxide and Sulphites in concentrations &gt; 10mg/kg (10mg/L),Tree Nuts and Tree Nut Products,Unpasteurised Egg Products,Unpasteurised Milk and Milk Products</t>
  </si>
  <si>
    <t>MIXES SCONE</t>
  </si>
  <si>
    <t>SCONE MIX WITH BUTTERMILK</t>
  </si>
  <si>
    <t>Cereals containing Gluten (and products thereof),Milk and Milk Products</t>
  </si>
  <si>
    <t>Artificial Colours,Artificial Flavours,Aspartame,Bee Pollen,Caffeine,Crustaceans (and products thereof),Egg and Egg Products,Evaporated Milk, Dried Milk made from Soy or Cereals,Fish and Fish Products,Guarana or extracts of Guarana,Lupine,MSG,Peanuts and Peanut Products,Phytosterol, Phytostanols and Esters,Propolis,Quinine,Royal Jelly,Sesame Seeds and Sesame Seed Products,Soybean and Soybean Products,Sulphur Dioxide and Sulphites in concentrations &gt; 10mg/kg (10mg/L),Tree Nuts and Tree Nut Products,Unpasteurised Egg Products,Unpasteurised Milk and Milk Products</t>
  </si>
  <si>
    <t>SEMOLINA</t>
  </si>
  <si>
    <t>Cereals containing Gluten (and products thereof),Wheat (as an ingredient)</t>
  </si>
  <si>
    <t>Almonds (as an ingredient),Artificial Colours,Artificial Flavours,Aspartame,Barley (as an ingredient),Bee Pollen,Brazil nuts (as an ingredient),Caffeine,Cashews (as an ingredient),Celery / Celeriac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t>
  </si>
  <si>
    <t>SUGAR</t>
  </si>
  <si>
    <t>SUGAR BROWN</t>
  </si>
  <si>
    <t>SUGAR CASTER</t>
  </si>
  <si>
    <t>YEAST</t>
  </si>
  <si>
    <t>YEAST DRY INSTANT</t>
  </si>
  <si>
    <t>BAKELS</t>
  </si>
  <si>
    <t>Artificial Colours,Artificial Flavours,Cereals containing Gluten (and products thereof),Egg and Egg Products,Fish and Fish Products,Guarana or extracts of Guarana,Lupine,Milk and Milk Products,MSG,Peanuts and Peanut Products,Sesame Seeds and Sesame Seed Products,Sulphur Dioxide and Sulphites in concentrations &gt; 10mg/kg (10mg/L),Tree Nuts and Tree Nut Products</t>
  </si>
  <si>
    <t>BEEF PORTIONED</t>
  </si>
  <si>
    <t>BEEF COOKED</t>
  </si>
  <si>
    <t>BEEF CARVERY CKD (APP 11KG CTN) 2-3 UNITS/CTN</t>
  </si>
  <si>
    <t>KG</t>
  </si>
  <si>
    <t>NATURALAZ</t>
  </si>
  <si>
    <t>KILOGRAM</t>
  </si>
  <si>
    <t>BEEF MINCE</t>
  </si>
  <si>
    <t>BEEF MINCE FROZEN</t>
  </si>
  <si>
    <t>EMERALD VALLEY</t>
  </si>
  <si>
    <t>Almonds (as an ingredient),Artificial Colours,Artificial Flavours,Barley (as an ingredient),Brazil nuts (as an ingredient),Cashews (as an ingredient),Cereals containing Gluten (and products thereof),Crustaceans (and products thereof),Egg and Egg Products,Fish and Fish Products,Hazelnuts (as an ingredient),Lupine,Macadamia or Queensland nuts (as an ingredient),Milk and Milk Products,Molluscs (and products thereof),MSG,Oats (as an ingredient),Peanuts and Peanut Products,Pecan nuts (as an ingredient),Pine Nuts (as an ingredient),Pistachio nuts (as an ingredient),Rye (as an ingredient),Sesame Seeds and Sesame Seed Products,Soybean and Soybean Products,Sulphur Dioxide and Sulphites in concentrations &gt; 10mg/kg (10mg/L),Tree Nuts and Tree Nut Products,Walnuts (as an ingredient),Wheat (as an ingredient)</t>
  </si>
  <si>
    <t>BEER</t>
  </si>
  <si>
    <t>BEER - IMPORTED</t>
  </si>
  <si>
    <t>CORONA EXTRA BEER BROWN BOX BOTTLE 4.5% (4 X 6PK)</t>
  </si>
  <si>
    <t>24 X 355ML</t>
  </si>
  <si>
    <t>CORONA</t>
  </si>
  <si>
    <t>BEER - FULL STRENGTH</t>
  </si>
  <si>
    <t>GREAT NORTHERN LAGER ORIGINAL WHITE MARLIN STUBBIE</t>
  </si>
  <si>
    <t>24 X 330ML</t>
  </si>
  <si>
    <t>GREAT NORTHERN</t>
  </si>
  <si>
    <t>BEER - LITE</t>
  </si>
  <si>
    <t>GREAT NORTHERN SUPER CRISP LAGER BLACK MARLIN 3.5%</t>
  </si>
  <si>
    <t>BEVERAGES</t>
  </si>
  <si>
    <t>COCOA</t>
  </si>
  <si>
    <t>COCOA POWDER</t>
  </si>
  <si>
    <t>FRUIT JUICES</t>
  </si>
  <si>
    <t>JUICE LEMON PURE SQUEEZE</t>
  </si>
  <si>
    <t>2 LT</t>
  </si>
  <si>
    <t>BOTTLE</t>
  </si>
  <si>
    <t>Sulphur Dioxide and Sulphites in concentrations &gt; 10mg/kg (10mg/L)</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</si>
  <si>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Products,Tree Nuts and Tree Nut Products,Unpasteurised Egg Products,Unpasteurised Milk and Milk Products,Walnuts (as an ingredient),Wheat (as an ingredient)</t>
  </si>
  <si>
    <t>JUICE LIME</t>
  </si>
  <si>
    <t>1 LT</t>
  </si>
  <si>
    <t>GROVE</t>
  </si>
  <si>
    <t>BISCUITS</t>
  </si>
  <si>
    <t>BISCUITS PORTION CONTROL</t>
  </si>
  <si>
    <t>BISCUITS P/C 102 JATZ</t>
  </si>
  <si>
    <t>150'S</t>
  </si>
  <si>
    <t>ARNOTTS</t>
  </si>
  <si>
    <t>COOKIES</t>
  </si>
  <si>
    <t>COOKIES SMARTY PANTS GRAB &amp; GO GLUTEN FREE 1-092</t>
  </si>
  <si>
    <t>11 X 60GR</t>
  </si>
  <si>
    <t>PRIESTLEYS</t>
  </si>
  <si>
    <t>TRAY</t>
  </si>
  <si>
    <t>Almonds (as an ingredient),Egg and Egg Products,Milk and Milk Products,Soybean and Soybean Products,Tree Nuts and Tree Nut Products</t>
  </si>
  <si>
    <t>Artificial Colours,Artificial Flavours,Aspartame,Barley (as an ingredient),Bee Pollen,Brazil nuts (as an ingredient),Caffeine,Cashews (as an ingredient),Celery / Celeriac (and products thereof),Cereals containing Gluten (and products thereof),Crustaceans (and products thereof),Evaporated Milk, Dried Milk made from Soy or Cereals,Fish and Fish Products,Guarana or extracts of Guarana,Lupine,Molluscs (and products thereof),MSG,Mustard (and products thereof),Oats (as an ingredient),Phytosterol, Phytostanols and Esters,Pine Nuts (as an ingredient),Propolis,Quinine,Royal Jelly,Rye (as an ingredient),Sesame Seeds and Sesame Seed Products,Sulphur Dioxide and Sulphites in concentrations &gt; 10mg/kg (10mg/L),Unpasteurised Egg Products,Unpasteurised Milk and Milk Products,Wheat (as an ingredient)</t>
  </si>
  <si>
    <t>Hazelnuts (as an ingredient),Macadamia or Queensland nuts (as an ingredient),Peanuts and Peanut Products,Pecan nuts (as an ingredient),Pistachio nuts (as an ingredient),Walnuts (as an ingredient)</t>
  </si>
  <si>
    <t>BREAD &amp; PASTRY</t>
  </si>
  <si>
    <t>SWEET BREAD/ROLLS/BUNS</t>
  </si>
  <si>
    <t>BREAD BANANA LOAF PRE CUT</t>
  </si>
  <si>
    <t>HELEN'S</t>
  </si>
  <si>
    <t>Cereals containing Gluten (and products thereof),Egg and Egg Products,Milk and Milk Products,Tree Nuts and Tree Nut Products,Walnuts (as an ingredient),Wheat (as an ingredient)</t>
  </si>
  <si>
    <t>Almonds (as an ingredient),Artificial Colours,Artificial Flavours,Aspartame,Barley (as an ingredient),Bee Pollen,Brazil nuts (as an ingredient),Caffeine,Cashews (as an ingredient),Celery / Celeriac (and products thereof),Crustaceans (and products thereof),Evaporated Milk, Dried Milk made from Soy or Cereals,Fish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(10mg/L),Unpasteurised Egg Products,Unpasteurised Milk and Milk Products</t>
  </si>
  <si>
    <t>ROLLS BUNS &amp; STICKS</t>
  </si>
  <si>
    <t>BREAD BRIOCHE SLIDER BUN F/B</t>
  </si>
  <si>
    <t>150 X 35GR</t>
  </si>
  <si>
    <t>BAKERS MAISON</t>
  </si>
  <si>
    <t>Barley (as an ingredient),Cereals containing Gluten (and products thereof),Egg and Egg Products,Evaporated Milk, Dried Milk made from Soy or Cereals,Milk and Milk Products,Soybean and Soybean Products,Wheat (as an ingredient)</t>
  </si>
  <si>
    <t>Artificial Colours,Artificial Flavours,Celery / Celeriac (and products thereof),Fish and Fish Products,Guarana or extracts of Guarana,Lupine,Molluscs (and products thereof),MSG,Mustard (and products thereof),Peanuts and Peanut Products,Phytosterol, Phytostanols and Esters,Propolis,Quinine,Royal Jelly,Sulphur Dioxide and Sulphites in concentrations &gt; 10mg/kg (10mg/L),Unpasteurised Egg Products,Unpasteurised Milk and Milk Products</t>
  </si>
  <si>
    <t>Sesame Seeds and Sesame Seed Products</t>
  </si>
  <si>
    <t>Almonds (as an ingredient),Brazil nuts (as an ingredient),Cashews (as an ingredient),Hazelnuts (as an ingredient),Macadamia or Queensland nuts (as an ingredient),Oats (as an ingredient),Pecan nuts (as an ingredient),Pine Nuts (as an ingredient),Pistachio nuts (as an ingredient),Rye (as an ingredient),Tree Nuts and Tree Nut Products,Walnuts (as an ingredient)</t>
  </si>
  <si>
    <t>BREAD BRIOCHE STYLE SLIDER ROLLS</t>
  </si>
  <si>
    <t>144 X 30GR</t>
  </si>
  <si>
    <t>TIP TOP</t>
  </si>
  <si>
    <t>Cereals containing Gluten (and products thereof),Soybean and Soybean Products,Wheat (as an ingredient)</t>
  </si>
  <si>
    <t>Almonds (as an ingredient),Artificial Colours,Artificial Flavours,Aspartame,Barley (as an ingredient),Bee Pollen,Brazil nuts (as an ingredient),Caffeine,Cashews (as an ingredient),Celery / Celeriac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ingredient),Sulphur Dioxide and Sulphites in concentrations &gt; 10mg/kg (10mg/L),Tree Nuts and Tree Nut Products,Unpasteurised Egg Products,Unpasteurised Milk and Milk Products,Walnuts (as an ingredient)</t>
  </si>
  <si>
    <t>BREAD TURKISH</t>
  </si>
  <si>
    <t>BREAD LOAF TURKISH F/B VEGAN</t>
  </si>
  <si>
    <t>20 X 430GR</t>
  </si>
  <si>
    <t>Cereals containing Gluten (and products thereof),Sesame Seeds and Sesame Seed Products,Soybean and Soybean Products,Wheat (as an ingredient)</t>
  </si>
  <si>
    <t>Artificial Colours,Artificial Flavours,Aspartame,Bee Pollen,Caffeine,Celery / Celeriac (and products thereof),Crustaceans (and products thereof),Fish and Fish Products,Guarana or extracts of Guarana,Molluscs (and products thereof),MSG,Mustard (and products thereof),Peanuts and Peanut Products,Phytosterol, Phytostanols and Esters,Propolis,Quinine,Royal Jelly,Sulphur Dioxide and Sulphites in concentrations &gt; 10mg/kg (10mg/L),Unpasteurised Egg Products,Unpasteurised Milk and Milk Products</t>
  </si>
  <si>
    <t>Almonds (as an ingredient),Brazil nuts (as an ingredient),Cashews (as an ingredient),Egg and Egg Products,Evaporated Milk, Dried Milk made from Soy or Cereals,Hazelnuts (as an ingredient),Lupine,Macadamia or Queensland nuts (as an ingredient),Milk and Milk Products,Pecan nuts (as an ingredient),Pine Nuts (as an ingredient),Pistachio nuts (as an ingredient),Tree Nuts and Tree Nut Products,Walnuts (as an ingredient)</t>
  </si>
  <si>
    <t>Barley (as an ingredient),Oats (as an ingredient),Rye (as an ingredient)</t>
  </si>
  <si>
    <t>BREAD LOAVES</t>
  </si>
  <si>
    <t>BREAD WHITE GLUTEN FREE</t>
  </si>
  <si>
    <t>6 X 500GR</t>
  </si>
  <si>
    <t>ABBOTTS VILLAGE BAKERY</t>
  </si>
  <si>
    <t>Egg and Egg Products</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</si>
  <si>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</si>
  <si>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 xml:space="preserve">BUNS BURGER POTATO 4.5  SLICED</t>
  </si>
  <si>
    <t>48 X 85GR</t>
  </si>
  <si>
    <t>Almonds (as an ingredient),Artificial Colours,Artificial Flavours,Aspartame,Bee Pollen,Brazil nuts (as an ingredient),Caffeine,Cashews (as an ingredient),Celery / Celeriac (and products thereof),Crustaceans (and products thereof),Egg and Egg Products,Evaporated Milk, Dried Milk made from Soy or Cereals,Fish and Fish Products,Guarana or extracts of Guarana,Hazelnuts (as an ingredient),Lupine,Macadamia or Queensland nuts (as an ingredient),Molluscs (and products thereof),MSG,Mustard (and products thereof),Peanuts and Peanut Products,Pecan nuts (as an ingredient),Phytosterol, Phytostanols and Esters,Pine Nuts (as an ingredient),Pistachio nuts (as an ingredient),Propolis,Quinine,Royal Jelly,Sulphur Dioxide and Sulphites in concentrations &gt; 10mg/kg (10mg/L),Tree Nuts and Tree Nut Products,Unpasteurised Egg Products,Unpasteurised Milk and Milk Products,Walnuts (as an ingredient)</t>
  </si>
  <si>
    <t>Barley (as an ingredient),Milk and Milk Products,Oats (as an ingredient),Rye (as an ingredient),Sesame Seeds and Sesame Seed Products</t>
  </si>
  <si>
    <t>CROISSANTS</t>
  </si>
  <si>
    <t>CROISSANTS BUTTER BULK TRADITIONAL F/B</t>
  </si>
  <si>
    <t>96 X 50GR</t>
  </si>
  <si>
    <t>SARA LEE</t>
  </si>
  <si>
    <t>Cereals containing Gluten (and products thereof),Milk and Milk Products,Wheat (as an ingredient)</t>
  </si>
  <si>
    <t>Almonds (as an ingredient),Artificial Colours,Artificial Flavours,Aspartame,Barley (as an ingredient),Bee Pollen,Brazil nuts (as an ingredient),Caffeine,Cashews (as an ingredient),Celery / Celeriac (and products thereof),Crustaceans (and products thereof),Egg and Egg Products,Evaporated Milk, Dried Milk made from Soy or Cereals,Fish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Esters,Pistachio nuts (as an ingredient),Propolis,Quinine,Royal Jelly,Rye (as an ingredient),Sesame Seeds and Sesame Seed Products,Sulphur Dioxide and Sulphites in concentrations &gt; 10mg/kg (10mg/L),Unpasteurised Egg Products,Unpasteurised Milk and Milk Products,Walnuts (as an ingredient)</t>
  </si>
  <si>
    <t>Soybean and Soybean Products,Tree Nuts and Tree Nut Products</t>
  </si>
  <si>
    <t>Pine Nuts (as an ingredient)</t>
  </si>
  <si>
    <t>CROISSANTS BUTTER MINI F/B</t>
  </si>
  <si>
    <t>95 X 26GR</t>
  </si>
  <si>
    <t>Almonds (as an ingredient),Artificial Colours,Artificial Flavours,Aspartame,Barley (as an ingredient),Bee Pollen,Brazil nuts (as an ingredient),Caffeine,Cashews (as an ingredient),Celery / Celeriac (and products thereof),Crustaceans (and products thereof),Egg and Egg Products,Evaporated Milk, Dried Milk made from Soy or Cereals,Fish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Products,Sulphur Dioxide and Sulphites in concentrations &gt; 10mg/kg (10mg/L),Unpasteurised Egg Products,Unpasteurised Milk and Milk Products,Walnuts (as an ingredient)</t>
  </si>
  <si>
    <t>FLAT BREADS AND WRAPS</t>
  </si>
  <si>
    <t xml:space="preserve">TORTILLAS CORN 6  WHITE TABLE TOP GLUTEN FREE</t>
  </si>
  <si>
    <t>12'S</t>
  </si>
  <si>
    <t>MISSION FOODS</t>
  </si>
  <si>
    <t>TORTILLAS FLOUR 6</t>
  </si>
  <si>
    <t>Almonds (as an ingredient),Artificial Colours,Artificial Flavours,Aspartame,Barley (as an ingredient),Bee Pollen,Brazil nuts (as an ingredient),Caffeine,Cashews (as an ingredient),Celery / Celeriac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Products,Sulphur Dioxide and Sulphites in concentrations &gt; 10mg/kg (10mg/L),Tree Nuts and Tree Nut Products,Unpasteurised Egg Products,Unpasteurised Milk and Milk Products,Walnuts (as an ingredient)</t>
  </si>
  <si>
    <t>CLEANING &amp; JANITORIAL</t>
  </si>
  <si>
    <t>BINS AND BIN LINERS</t>
  </si>
  <si>
    <t>BAGS GARBAGE 82LT HEAVY DUTY BLACK 81X95CM</t>
  </si>
  <si>
    <t>25'S</t>
  </si>
  <si>
    <t>TAILORED PACKAGING</t>
  </si>
  <si>
    <t>GLOVES</t>
  </si>
  <si>
    <t>GLOVES VINYL BLUE EXTRA LARGE POWDER FREE</t>
  </si>
  <si>
    <t>100'S</t>
  </si>
  <si>
    <t>WORKPLACE</t>
  </si>
  <si>
    <t>SCOURERS &amp; SPONGES</t>
  </si>
  <si>
    <t>SCOURER STAINLESS STEEL 70GR</t>
  </si>
  <si>
    <t>6'S</t>
  </si>
  <si>
    <t>CATER CLEAN</t>
  </si>
  <si>
    <t>DAIRY</t>
  </si>
  <si>
    <t>BUTTER</t>
  </si>
  <si>
    <t>BUTTER SALTED</t>
  </si>
  <si>
    <t>YARDE FARM</t>
  </si>
  <si>
    <t>PAT</t>
  </si>
  <si>
    <t>Milk and Milk Products</t>
  </si>
  <si>
    <t>Almonds (as an ingredient),Barley (as an ingredient),Bee Pollen,Brazil nuts (as an ingredient),Cashews (as an ingredient),Celery / Celeriac (and products thereof),Guarana or extracts of Guarana,Hazelnuts (as an ingredient),Macadamia or Queensland nuts (as an ingredient),Molluscs (and products thereof),Mustard (and products thereof),Oats (as an ingredient),Pecan nuts (as an ingredient),Pine Nuts (as an ingredient),Pistachio nuts (as an ingredient),Rye (as an ingredient),Walnuts (as an ingredient),Wheat (as an ingredient)</t>
  </si>
  <si>
    <t>Artificial Colours,Artificial Flavours,Aspartame,Caffeine,Cereals containing Gluten (and products thereof),Crustaceans (and products thereof),Egg and Egg Products,Evaporated Milk, Dried Milk made from Soy or Cereals,Fish and Fish Products,Lupine,MSG,Peanuts and Peanut Products,Phytosterol, Phytostanols and Esters,Propolis,Quinine,Royal Jelly,Sesame Seeds and Sesame Seed Products,Soybean and Soybean Products,Sulphur Dioxide and Sulphites in concentrations &gt; 10mg/kg (10mg/L),Tree Nuts and Tree Nut Products,Unpasteurised Egg Products,Unpasteurised Milk and Milk Products</t>
  </si>
  <si>
    <t>1.5 KG</t>
  </si>
  <si>
    <t>BLOCK</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</si>
  <si>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</si>
  <si>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BUTTER SALTED HOTEL PACK</t>
  </si>
  <si>
    <t>WESTERN STAR</t>
  </si>
  <si>
    <t>Artificial Colours,Artificial Flavours,Aspartame,Bee Pollen,Caffeine,Cereals containing Gluten (and products thereof),Crustaceans (and products thereof),Egg and Egg Products,Evaporated Milk, Dried Milk made from Soy or Cereals,Fish and Fish Products,Guarana or extracts of Guarana,MSG,Peanuts and Peanut Products,Phytosterol, Phytostanols and Esters,Propolis,Quinine,Royal Jelly,Soybean and Soybean Products,Sulphur Dioxide and Sulphites in concentrations &gt; 10mg/kg (10mg/L),Tree Nuts and Tree Nut Products,Unpasteurised Egg Products,Unpasteurised Milk and Milk Products</t>
  </si>
  <si>
    <t>BUTTER UNSALTED</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</si>
  <si>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Products,Walnuts (as an ingredient),Wheat (as an ingredient)</t>
  </si>
  <si>
    <t>Unpasteurised Milk and Milk Products</t>
  </si>
  <si>
    <t>CHEESE BLUE</t>
  </si>
  <si>
    <t>CHEESE BLUE DANISH (APP 3KG)</t>
  </si>
  <si>
    <t>DANSK VALG</t>
  </si>
  <si>
    <t>Artificial Colours,Artificial Flavours,Cereals containing Gluten (and products thereof),Egg and Egg Products,Fish and Fish Products,Guarana or extracts of Guarana,Lupine,MSG,Peanuts and Peanut Products,Sesame Seeds and Sesame Seed Products,Soybean and Soybean Products,Tree Nuts and Tree Nut Products</t>
  </si>
  <si>
    <t>CHEESE BLUE DANISH WEDGES</t>
  </si>
  <si>
    <t>100 GR</t>
  </si>
  <si>
    <t>CHEESE BRIE/CAMEMBERT</t>
  </si>
  <si>
    <t>CHEESE BRIE (APP 1KG)</t>
  </si>
  <si>
    <t>SOUTHCAPE</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</si>
  <si>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</si>
  <si>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CHEESE BLOCK TASTY</t>
  </si>
  <si>
    <t>CHEESE CHEDDAR VINTAGE GOLD RELEASE (APP 2.4KG)</t>
  </si>
  <si>
    <t>CRACKERBARREL</t>
  </si>
  <si>
    <t>CHEESE CREAM</t>
  </si>
  <si>
    <t>DEVONDALE</t>
  </si>
  <si>
    <t>CHEESE FETTA</t>
  </si>
  <si>
    <t>FRESCO</t>
  </si>
  <si>
    <t>PAIL</t>
  </si>
  <si>
    <t>CHEESE FETTA CRUMBLE</t>
  </si>
  <si>
    <t>200 GR</t>
  </si>
  <si>
    <t>CHEESE FETTA CUBED</t>
  </si>
  <si>
    <t>CHEESE FETTA GREEK STYLE BLOCK</t>
  </si>
  <si>
    <t>CHEESE SPECIALTY</t>
  </si>
  <si>
    <t>CHEESE HALLOUMI BLOCK CYPRUS</t>
  </si>
  <si>
    <t>KALOS</t>
  </si>
  <si>
    <t>Artificial Colours,Artificial Flavours,Aspartame,Bee Pollen,Caffeine,Cereals containing Gluten (and products thereof),Crustaceans (and products thereof),Egg and Egg Products,Evaporated Milk, Dried Milk made from Soy or Cereals,Fish and Fish Products,Guarana or extracts of Guarana,Lupine,MSG,Peanuts and Peanut Products,Phytosterol, Phytostanols and Esters,Propolis,Quinine,Royal Jelly,Sesame Seeds and Sesame Seed Products,Soybean and Soybean Products,Sulphur Dioxide and Sulphites in concentrations &gt; 10mg/kg (10mg/L),Tree Nuts and Tree Nut Products,Unpasteurised Egg Products,Unpasteurised Milk and Milk Products</t>
  </si>
  <si>
    <t>CHEESE SOFT</t>
  </si>
  <si>
    <t>CHEESE MASCARPONE</t>
  </si>
  <si>
    <t>CHEESE MOZZARELLA</t>
  </si>
  <si>
    <t>CHEESE MOZZARELLA SHREDDED</t>
  </si>
  <si>
    <t>Almonds (as an ingredient),Artificial Colours,Artificial Flavours,Barley (as an ingredient),Brazil nuts (as an ingredient),Cashews (as an ingredient),Cereals containing Gluten (and products thereof),Egg and Egg Products,Fish and Fish Products,Hazelnuts (as an ingredient),Lupine,Macadamia or Queensland nuts (as an ingredient),Molluscs (and products thereof),MSG,Oats (as an ingredient),Peanuts and Peanut Products,Pecan nuts (as an ingredient),Pine Nuts (as an ingredient),Pistachio nuts (as an ingredient),Rye (as an ingredient),Sesame Seeds and Sesame Seed Products,Soybean and Soybean Products,Tree Nuts and Tree Nut Products,Walnuts (as an ingredient),Wheat (as an ingredient)</t>
  </si>
  <si>
    <t>CHEESE PARMESAN</t>
  </si>
  <si>
    <t>CHEESE PARMESAN SHAVED</t>
  </si>
  <si>
    <t>ALFINAS</t>
  </si>
  <si>
    <t>Almonds (as an ingredient),Artificial Colours,Artificial Flavours,Barley (as an ingredient),Brazil nuts (as an ingredient),Cashews (as an ingredient),Cereals containing Gluten (and products thereof),Crustaceans (and products thereof),Egg and Egg Products,Fish and Fish Products,Hazelnuts (as an ingredient),Lupine,Macadamia or Queensland nuts (as an ingredient),Molluscs (and products thereof),MSG,Oats (as an ingredient),Peanuts and Peanut Products,Pecan nuts (as an ingredient),Pine Nuts (as an ingredient),Pistachio nuts (as an ingredient),Rye (as an ingredient),Sesame Seeds and Sesame Seed Products,Soybean and Soybean Products,Tree Nuts and Tree Nut Products,Walnuts (as an ingredient),Wheat (as an ingredient)</t>
  </si>
  <si>
    <t>CHEESE PHILADELPHIA CREAM</t>
  </si>
  <si>
    <t>PHILADELPHIA</t>
  </si>
  <si>
    <t>Evaporated Milk, Dried Milk made from Soy or Cereals,Milk and Milk Products</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</si>
  <si>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</si>
  <si>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Fish and Fish Products</t>
  </si>
  <si>
    <t>CHEESE SHREDDED/GRATED</t>
  </si>
  <si>
    <t>CHEESE SHREDDED MEXICAN BLEND</t>
  </si>
  <si>
    <t>LAS TAPAS</t>
  </si>
  <si>
    <t>Almonds (as an ingredient),Artificial Colours,Artificial Flavours,Barley (as an ingredient),Brazil nuts (as an ingredient),Cashews (as an ingredient),Cereals containing Gluten (and products thereof),Egg and Egg Products,Fish and Fish Products,Guarana or extracts of Guarana,Hazelnuts (as an ingredient),Lupine,Macadamia or Queensland nuts (as an ingredient),Molluscs (and products thereof),MSG,Oats (as an ingredient),Peanuts and Peanut Products,Pecan nuts (as an ingredient),Pine Nuts (as an ingredient),Pistachio nuts (as an ingredient),Rye (as an ingredient),Sesame Seeds and Sesame Seed Products,Soybean and Soybean Products,Tree Nuts and Tree Nut Products,Walnuts (as an ingredient),Wheat (as an ingredient)</t>
  </si>
  <si>
    <t>CHEESE SHREDDED TASTY PREMIUM</t>
  </si>
  <si>
    <t>Almonds (as an ingredient),Artificial Colours,Artificial Flavours,Aspartame,Barley (as an ingredient),Brazil nuts (as an ingredient),Cashews (as an ingredient),Cereals containing Gluten (and products thereof),Crustaceans (and products thereof),Egg and Egg Products,Fish and Fish Products,Hazelnuts (as an ingredient),Lupine,Macadamia or Queensland nuts (as an ingredient),Molluscs (and products thereof),MSG,Oats (as an ingredient),Peanuts and Peanut Products,Pecan nuts (as an ingredient),Pine Nuts (as an ingredient),Pistachio nuts (as an ingredient),Rye (as an ingredient),Sesame Seeds and Sesame Seed Products,Soybean and Soybean Products,Tree Nuts and Tree Nut Products,Walnuts (as an ingredient),Wheat (as an ingredient)</t>
  </si>
  <si>
    <t>CHEESE SLICES &amp; CUBES</t>
  </si>
  <si>
    <t>CHEESE SLICES BURGER AMERICAN 120'S</t>
  </si>
  <si>
    <t>2.28 KG</t>
  </si>
  <si>
    <t>JEFFERSONS</t>
  </si>
  <si>
    <t>Almonds (as an ingredient),Artificial Colours,Artificial Flavours,Barley (as an ingredient),Brazil nuts (as an ingredient),Cashews (as an ingredient),Cereals containing Gluten (and products thereof),Egg and Egg Products,Fish and Fish Products,Hazelnuts (as an ingredient),Lupine,Macadamia or Queensland nuts (as an ingredient),Molluscs (and products thereof),MSG,Oats (as an ingredient),Peanuts and Peanut Products,Pecan nuts (as an ingredient),Pine Nuts (as an ingredient),Pistachio nuts (as an ingredient),Rye (as an ingredient),Sesame Seeds and Sesame Seed Products,Tree Nuts and Tree Nut Products,Walnuts (as an ingredient),Wheat (as an ingredient)</t>
  </si>
  <si>
    <t>CHEESE SLICES HALLOUMI CYPRUS</t>
  </si>
  <si>
    <t>CHEESE SLICES TASTY 105'S</t>
  </si>
  <si>
    <t>CREAM</t>
  </si>
  <si>
    <t>CREAM SOUR</t>
  </si>
  <si>
    <t>DAIRY FARMERS</t>
  </si>
  <si>
    <t>Almonds (as an ingredient),Artificial Colours,Artificial Flavours,Barley (as an ingredient),Bee Pollen,Brazil nuts (as an ingredient),Caffeine,Cashews (as an ingredient),Cereals containing Gluten (and products thereof),Crustaceans (and products thereof),Egg and Egg Products,Fish and Fish Products,Hazelnuts (as an ingredient),Lupine,Macadamia or Queensland nuts (as an ingredient),Molluscs (and products thereof),MSG,Oats (as an ingredient),Peanuts and Peanut Products,Pecan nuts (as an ingredient),Phytosterol, Phytostanols and Esters,Pistachio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</si>
  <si>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Aspartame</t>
  </si>
  <si>
    <t>CREAM SOUR LIGHT</t>
  </si>
  <si>
    <t>5 LT</t>
  </si>
  <si>
    <t>Almonds (as an ingredient),Artificial Colours,Artificial Flavours,Barley (as an ingredient),Brazil nuts (as an ingredient),Cashews (as an ingredient),Cereals containing Gluten (and products thereof),Egg and Egg Products,Evaporated Milk, Dried Milk made from Soy or Cereals,Fish and Fish Products,Hazelnuts (as an ingredient),Lupine,Macadamia or Queensland nuts (as an ingredient),Molluscs (and products thereof),MSG,Oats (as an ingredient),Peanuts and Peanut Products,Pecan nuts (as an ingredient),Pine Nuts (as an ingredient),Pistachio nuts (as an ingredient),Rye (as an ingredient),Sesame Seeds and Sesame Seed Products,Soybean and Soybean Products,Tree Nuts and Tree Nut Products,Unpasteurised Egg Products,Unpasteurised Milk and Milk Products,Walnuts (as an ingredient),Wheat (as an ingredient)</t>
  </si>
  <si>
    <t>CREAM THICKENED</t>
  </si>
  <si>
    <t>Almonds (as an ingredient),Artificial Colours,Artificial Flavours,Barley (as an ingredient),Brazil nuts (as an ingredient),Cashews (as an ingredient),Cereals containing Gluten (and products thereof),Fish and Fish Products,Hazelnuts (as an ingredient),Lupine,Macadamia or Queensland nuts (as an ingredient),Oats (as an ingredient),Pecan nuts (as an ingredient),Pine Nuts (as an ingredient),Pistachio nuts (as an ingredient),Rye (as an ingredient),Walnuts (as an ingredient),Wheat (as an ingredient)</t>
  </si>
  <si>
    <t>Molluscs (and products thereof),MSG</t>
  </si>
  <si>
    <t>YOGHURT</t>
  </si>
  <si>
    <t>YOGHURT GREEK SWEETENED</t>
  </si>
  <si>
    <t>GEORGES</t>
  </si>
  <si>
    <t>BUCKET</t>
  </si>
  <si>
    <t>DESSERTS</t>
  </si>
  <si>
    <t>CAKE PORTIONS &amp; INDIVIDUALS</t>
  </si>
  <si>
    <t>CAKE P/C RED VELVET GLUTEN FREE 1-838</t>
  </si>
  <si>
    <t>8 X 100GR</t>
  </si>
  <si>
    <t>Artificial Colours,Artificial Flavours,Barley (as an ingredient),Brazil nuts (as an ingredient),Cashews (as an ingredient),Cereals containing Gluten (and products thereof),Fish and Fish Products,Lupine,Molluscs (and products thereof),MSG,Oats (as an ingredient),Pine Nuts (as an ingredient),Pistachio nuts (as an ingredient),Rye (as an ingredient),Wheat (as an ingredient)</t>
  </si>
  <si>
    <t>Almonds (as an ingredient),Hazelnuts (as an ingredient),Macadamia or Queensland nuts (as an ingredient),Pecan nuts (as an ingredient),Tree Nuts and Tree Nut Products,Walnuts (as an ingredient)</t>
  </si>
  <si>
    <t>CHEESECAKES &amp; BAVARIANS</t>
  </si>
  <si>
    <t>CHEESECAKE CARAMEL RICOTTA BAKED</t>
  </si>
  <si>
    <t>2.5 KG</t>
  </si>
  <si>
    <t>SPOON WHOLESALE KITCHEN</t>
  </si>
  <si>
    <t>EACH</t>
  </si>
  <si>
    <t>Barley (as an ingredient),Egg and Egg Products,Oats (as an ingredient),Rye (as an ingredient),Wheat (as an ingredient)</t>
  </si>
  <si>
    <t>Almonds (as an ingredient),Artificial Colours,Artificial Flavours,Brazil nuts (as an ingredient),Cashews (as an ingredient),Cereals containing Gluten (and products thereof),Fish and Fish Products,Hazelnuts (as an ingredient),Lupine,Macadamia or Queensland nuts (as an ingredient),Molluscs (and products thereof),MSG,Pecan nuts (as an ingredient),Pine Nuts (as an ingredient),Pistachio nuts (as an ingredient),Walnuts (as an ingredient)</t>
  </si>
  <si>
    <t>CHEESECAKE P/C PISTACHIO INDIVIDUAL GLUTEN FREE</t>
  </si>
  <si>
    <t>8 X 105GR</t>
  </si>
  <si>
    <t>Egg and Egg Products,Milk and Milk Products,Pistachio nuts (as an ingredient),Soybean and Soybean Products,Sulphur Dioxide and Sulphites in concentrations &gt; 10mg/kg (10mg/L),Tree Nuts and Tree Nut Products</t>
  </si>
  <si>
    <t>Artificial Colours,Artificial Flavours,Aspartame,Barley (as an ingredient),Brazil nuts (as an ingredient),Caffeine,Cashews (as an ingredient),Celery / Celeriac (and products thereof),Cereals containing Gluten (and products thereof),Crustaceans (and products thereof),Evaporated Milk, Dried Milk made from Soy or Cereals,Fish and Fish Products,Guarana or extracts of Guarana,Lupine,Molluscs (and products thereof),MSG,Mustard (and products thereof),Oats (as an ingredient),Peanuts and Peanut Products,Phytosterol, Phytostanols and Esters,Pine Nuts (as an ingredient),Propolis,Quinine,Royal Jelly,Rye (as an ingredient),Sesame Seeds and Sesame Seed Products,Unpasteurised Egg Products,Unpasteurised Milk and Milk Products,Wheat (as an ingredient)</t>
  </si>
  <si>
    <t>Almonds (as an ingredient),Hazelnuts (as an ingredient),Macadamia or Queensland nuts (as an ingredient),Pecan nuts (as an ingredient),Walnuts (as an ingredient)</t>
  </si>
  <si>
    <t>CAKES - WHOLE &amp; GATEAU</t>
  </si>
  <si>
    <t>GATEAU CHOCOLATE RASPBERRY GLUTEN FREE VEGAN 1-798</t>
  </si>
  <si>
    <t>2.39 KG</t>
  </si>
  <si>
    <t>Pistachio nuts (as an ingredient),Soybean and Soybean Products,Tree Nuts and Tree Nut Products</t>
  </si>
  <si>
    <t>Barley (as an ingredient),Brazil nuts (as an ingredient),Cereals containing Gluten (and products thereof),Evaporated Milk, Dried Milk made from Soy or Cereals,Fish and Fish Products,Lupine,Molluscs (and products thereof),MSG,Oats (as an ingredient),Peanuts and Peanut Products,Pine Nuts (as an ingredient),Rye (as an ingredient),Wheat (as an ingredient)</t>
  </si>
  <si>
    <t>Almonds (as an ingredient),Artificial Colours,Artificial Flavours,Cashews (as an ingredient),Hazelnuts (as an ingredient),Macadamia or Queensland nuts (as an ingredient),Milk and Milk Products,Pecan nuts (as an ingredient),Walnuts (as an ingredient)</t>
  </si>
  <si>
    <t>DESERT &amp; PUDDING MIXES</t>
  </si>
  <si>
    <t>MOUSSE MIX FRENCH VANILLA GLUTEN FREE</t>
  </si>
  <si>
    <t>1.8 KG</t>
  </si>
  <si>
    <t>Artificial Flavours,Milk and Milk Products</t>
  </si>
  <si>
    <t>Artificial Colours,Cereals containing Gluten (and products thereof),Crustaceans (and products thereof),Egg and Egg Products,Fish and Fish Products,Lupine,MSG,Peanuts and Peanut Products,Sesame Seeds and Sesame Seed Products,Sulphur Dioxide and Sulphites in concentrations &gt; 10mg/kg (10mg/L),Tree Nuts and Tree Nut Products</t>
  </si>
  <si>
    <t>PAVLOVA &amp; MERINGUES</t>
  </si>
  <si>
    <t>PAVLOVA PETITE 6-204</t>
  </si>
  <si>
    <t>48 X 8.5GR</t>
  </si>
  <si>
    <t>SLICES</t>
  </si>
  <si>
    <t>SLICE CARAMEL GLUTEN FREE 1-136</t>
  </si>
  <si>
    <t>15 X 110GR</t>
  </si>
  <si>
    <t>Almonds (as an ingredient),Egg and Egg Products,Milk and Milk Products,Soybean and Soybean Products,Sulphur Dioxide and Sulphites in concentrations &gt; 10mg/kg (10mg/L)</t>
  </si>
  <si>
    <t>Artificial Colours,Artificial Flavours,Aspartame,Barley (as an ingredient),Bee Pollen,Brazil nuts (as an ingredient),Caffeine,Celery / Celeriac (and products thereof),Cereals containing Gluten (and products thereof),Crustaceans (and products thereof),Evaporated Milk, Dried Milk made from Soy or Cereals,Fish and Fish Products,Guarana or extracts of Guarana,Lupine,Molluscs (and products thereof),MSG,Mustard (and products thereof),Oats (as an ingredient),Phytosterol, Phytostanols and Esters,Pine Nuts (as an ingredient),Propolis,Quinine,Royal Jelly,Rye (as an ingredient),Sesame Seeds and Sesame Seed Products,Tree Nuts and Tree Nut Products,Unpasteurised Egg Products,Unpasteurised Milk and Milk Products,Wheat (as an ingredient)</t>
  </si>
  <si>
    <t>Cashews (as an ingredient),Hazelnuts (as an ingredient),Macadamia or Queensland nuts (as an ingredient),Peanuts and Peanut Products,Pecan nuts (as an ingredient),Pistachio nuts (as an ingredient),Walnuts (as an ingredient)</t>
  </si>
  <si>
    <t xml:space="preserve">TARTS  CRUMBLES &amp; PIES</t>
  </si>
  <si>
    <t>TART P/C CITRUS GLUTEN FREE 1-316</t>
  </si>
  <si>
    <t>6 X 149GR</t>
  </si>
  <si>
    <t>Aspartame,Barley (as an ingredient),Bee Pollen,Brazil nuts (as an ingredient),Caffeine,Celery / Celeriac (and products thereof),Cereals containing Gluten (and products thereof),Crustaceans (and products thereof),Evaporated Milk, Dried Milk made from Soy or Cereals,Fish and Fish Products,Guarana or extracts of Guarana,Lupine,Molluscs (and products thereof),MSG,Mustard (and products thereof),Oats (as an ingredient),Peanuts and Peanut Products,Phytosterol, Phytostanols and Esters,Pine Nuts (as an ingredient),Propolis,Quinine,Royal Jelly,Rye (as an ingredient),Sesame Seeds and Sesame Seed Products,Sulphur Dioxide and Sulphites in concentrations &gt; 10mg/kg (10mg/L),Tree Nuts and Tree Nut Products,Unpasteurised Egg Products,Unpasteurised Milk and Milk Products,Wheat (as an ingredient)</t>
  </si>
  <si>
    <t>Almonds (as an ingredient),Cashews (as an ingredient),Hazelnuts (as an ingredient),Macadamia or Queensland nuts (as an ingredient),Pecan nuts (as an ingredient),Pistachio nuts (as an ingredient),Walnuts (as an ingredient)</t>
  </si>
  <si>
    <t>Artificial Colours,Artificial Flavours</t>
  </si>
  <si>
    <t>EGGS</t>
  </si>
  <si>
    <t>EGG PRODUCTS</t>
  </si>
  <si>
    <t>EGGS SCRAMBLED MIX</t>
  </si>
  <si>
    <t>5 X 2KG</t>
  </si>
  <si>
    <t>SUNNYQUEEN</t>
  </si>
  <si>
    <t>Egg and Egg Products,Milk and Milk Products</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</si>
  <si>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thereof),Evaporated Milk, Dried Milk made from Soy or Cereals,Fish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</si>
  <si>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FINGER &amp; SNACK FOODS</t>
  </si>
  <si>
    <t>ARANCINI</t>
  </si>
  <si>
    <t>ARANCINI MUSHROOM &amp; WHITE WINE</t>
  </si>
  <si>
    <t>CHANS YUM CHA</t>
  </si>
  <si>
    <t>Milk and Milk Products,MSG,Wheat (as an ingredient)</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</si>
  <si>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ingredient),Molluscs (and products thereof),Mustard (and products thereof),Oats (as an ingredient),Peanuts and Peanut Products,Pecan nuts (as an ingredient),Phytosterol, Phytostanols and Esters,Pistachio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t>
  </si>
  <si>
    <t>FINGER FOOD OTHER</t>
  </si>
  <si>
    <t>CAULIFLOWER POPCORN</t>
  </si>
  <si>
    <t>STREETFOOD</t>
  </si>
  <si>
    <t>Artificial Colours,Cereals containing Gluten (and products thereof),Wheat (as an ingredient)</t>
  </si>
  <si>
    <t>Almonds (as an ingredient),Artificial Flavours,Aspartame,Barley (as an ingredient),Bee Pollen,Brazil nuts (as an ingredient),Caffeine,Cashews (as an ingredient),Celery / Celeriac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t>
  </si>
  <si>
    <t>CHICKEN PRODUCTS</t>
  </si>
  <si>
    <t>CHICKEN BALLS GARLIC</t>
  </si>
  <si>
    <t>Crustaceans (and products thereof),Egg and Egg Products,Fish and Fish Products,MSG,Peanuts and Peanut Products,Phytosterol, Phytostanols and Esters,Sesame Seeds and Sesame Seed Products,Sulphur Dioxide and Sulphites in concentrations &gt; 10mg/kg (10mg/L),Tree Nuts and Tree Nut Products,Unpasteurised Egg Products,Unpasteurised Milk and Milk Products</t>
  </si>
  <si>
    <t>Almonds (as an ingredient),Artificial Colours,Artificial Flavours,Aspartame,Barley (as an ingredient),Bee Pollen,Brazil nuts (as an ingredient),Caffeine,Cashews (as an ingredient),Celery / Celeriac (and products thereof),Evaporated Milk, Dried Milk made from Soy or Cereals,Guarana or extracts of Guarana,Hazelnuts (as an ingredient),Lupine,Macadamia or Queensland nuts (as an ingredient),Molluscs (and products thereof),Mustard (and products thereof),Oats (as an ingredient),Pecan nuts (as an ingredient),Pine Nuts (as an ingredient),Pistachio nuts (as an ingredient),Propolis,Quinine,Royal Jelly,Rye (as an ingredient),Walnuts (as an ingredient),Wheat (as an ingredient)</t>
  </si>
  <si>
    <t>CHICKEN GOUJONS</t>
  </si>
  <si>
    <t>STEGGLES</t>
  </si>
  <si>
    <t>Cereals containing Gluten (and products thereof),Soybean and Soybean Products,Sulphur Dioxide and Sulphites in concentrations &gt; 10mg/kg (10mg/L),Wheat (as an ingredient)</t>
  </si>
  <si>
    <t>Almonds (as an ingredient),Artificial Colours,Artificial Flavours,Aspartame,Barley (as an ingredient),Bee Pollen,Brazil nuts (as an ingredient),Caffeine,Cashews (as an ingredient),Crustaceans (and products thereof),Egg and Egg Products,Evaporated Milk, Dried Milk made from Soy or Cereals,Fish and Fish Products,Hazelnuts (as an ingredient),Lupine,Macadamia or Queensland nuts (as an ingredient),Milk and Milk Products,Molluscs (and products thereof),MSG,Oats (as an ingredient),Peanuts and Peanut Products,Pecan nuts (as an ingredient),Phytosterol, Phytostanols and Esters,Pine Nuts (as an ingredient),Pistachio nuts (as an ingredient),Propolis,Quinine,Royal Jelly,Rye (as an ingredient),Tree Nuts and Tree Nut Products,Unpasteurised Egg Products,Unpasteurised Milk and Milk Products,Walnuts (as an ingredient)</t>
  </si>
  <si>
    <t>Almonds (as an ingredient),Artificial Colours,Artificial Flavours,Barley (as an ingredient),Brazil nuts (as an ingredient),Cashews (as an ingredient),Fish and Fish Products,Hazelnuts (as an ingredient),Lupine,Macadamia or Queensland nuts (as an ingredient),Milk and Milk Products,MSG,Oats (as an ingredient),Peanuts and Peanut Products,Pecan nuts (as an ingredient),Pine Nuts (as an ingredient),Pistachio nuts (as an ingredient),Rye (as an ingredient),Sesame Seeds and Sesame Seed Products,Tree Nuts and Tree Nut Products,Walnuts (as an ingredient)</t>
  </si>
  <si>
    <t>Crustaceans (and products thereof),Egg and Egg Products,Molluscs (and products thereof),Sulphur Dioxide and Sulphites in concentrations &gt; 10mg/kg (10mg/L)</t>
  </si>
  <si>
    <t>CHICKEN NUGGETS BREAST TEMPURA</t>
  </si>
  <si>
    <t>Almonds (as an ingredient),Artificial Colours,Artificial Flavours,Barley (as an ingredient),Brazil nuts (as an ingredient),Cashews (as an ingredient),Hazelnuts (as an ingredient),Lupine,Macadamia or Queensland nuts (as an ingredient),Milk and Milk Products,MSG,Oats (as an ingredient),Peanuts and Peanut Products,Pecan nuts (as an ingredient),Pine Nuts (as an ingredient),Pistachio nuts (as an ingredient),Rye (as an ingredient),Sesame Seeds and Sesame Seed Products,Tree Nuts and Tree Nut Products,Walnuts (as an ingredient)</t>
  </si>
  <si>
    <t>Crustaceans (and products thereof),Egg and Egg Products,Fish and Fish Products,Molluscs (and products thereof),Soybean and Soybean Products,Sulphur Dioxide and Sulphites in concentrations &gt; 10mg/kg (10mg/L)</t>
  </si>
  <si>
    <t>CHICKEN NUGGETS GLUTEN FREE COATING</t>
  </si>
  <si>
    <t>45 X 22GR</t>
  </si>
  <si>
    <t>INGHAM</t>
  </si>
  <si>
    <t>Egg and Egg Products,Soybean and Soybean Products</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</si>
  <si>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Products,Sulphur Dioxide and Sulphites in concentrations &gt; 10mg/kg (10mg/L),Tree Nuts and Tree Nut Products,Unpasteurised Egg Products,Unpasteurised Milk and Milk Products,Walnuts (as an ingredient),Wheat (as an ingredient)</t>
  </si>
  <si>
    <t>Evaporated Milk, Dried Milk made from Soy or Cereals</t>
  </si>
  <si>
    <t>CHICKEN WYNGZ DEVIL BONELESS</t>
  </si>
  <si>
    <t>Almonds (as an ingredient),Aspartame,Barley (as an ingredient),Bee Pollen,Brazil nuts (as an ingredient),Caffeine,Cashews (as an ingredient),Celery / Celeriac (and products thereof),Crustaceans (and products thereof),Fish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Products,Sulphur Dioxide and Sulphites in concentrations &gt; 10mg/kg (10mg/L),Tree Nuts and Tree Nut Products,Unpasteurised Egg Products,Unpasteurised Milk and Milk Products,Walnuts (as an ingredient)</t>
  </si>
  <si>
    <t>Egg and Egg Products,Evaporated Milk, Dried Milk made from Soy or Cereals,Soybean and Soybean Products</t>
  </si>
  <si>
    <t>LAMB KOFTA</t>
  </si>
  <si>
    <t>20 X 60GR</t>
  </si>
  <si>
    <t>SPECIALTY FOODS</t>
  </si>
  <si>
    <t>Fish</t>
  </si>
  <si>
    <t>FISH FILLETS SKINLESS</t>
  </si>
  <si>
    <t>RED SPOT EMPEROR FLT S/LESS B/LESS 100/200 (I)</t>
  </si>
  <si>
    <t>SEACREST</t>
  </si>
  <si>
    <t>Almonds (as an ingredient),Artificial Colours,Artificial Flavours,Barley (as an ingredient),Brazil nuts (as an ingredient),Cashews (as an ingredient),Cereals containing Gluten (and products thereof),Crustaceans (and products thereof),Egg and Egg Products,Evaporated Milk, Dried Milk made from Soy or Cereals,Hazelnuts (as an ingredient),Macadamia or Queensland nuts (as an ingredient),Milk and Milk Products,Molluscs (and products thereof),Oats (as an ingredient),Peanuts and Peanut Products,Pecan nuts (as an ingredient),Pine Nuts (as an ingredient),Pistachio nuts (as an ingredient),Rye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</si>
  <si>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Aspartame,Bee Pollen,Caffeine,Lupine,MSG,Phytosterol, Phytostanols and Esters,Propolis,Quinine,Royal Jelly</t>
  </si>
  <si>
    <t>RED SPOT EMPEROR FLT S/LESS B/LESS 200/300 (I)</t>
  </si>
  <si>
    <t>Almonds (as an ingredient),Artificial Colours,Artificial Flavours,Barley (as an ingredient),Brazil nuts (as an ingredient),Cashews (as an ingredient),Cereals containing Gluten (and products thereof),Crustaceans (and products thereof),Egg and Egg Products,Evaporated Milk, Dried Milk made from Soy or Cereals,Hazelnuts (as an ingredient),Lupine,Macadamia or Queensland nuts (as an ingredient),Milk and Milk Products,Molluscs (and products thereof),Oats (as an ingredient),Peanuts and Peanut Products,Pecan nuts (as an ingredient),Pine Nuts (as an ingredient),Pistachio nuts (as an ingredient),Rye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</si>
  <si>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Aspartame,Bee Pollen,Caffeine,MSG,Phytosterol, Phytostanols and Esters,Propolis,Quinine,Royal Jelly</t>
  </si>
  <si>
    <t>FRUIT</t>
  </si>
  <si>
    <t>FROZEN FRUIT</t>
  </si>
  <si>
    <t>BERRIES MIXED IQF</t>
  </si>
  <si>
    <t>CANNED FRUIT</t>
  </si>
  <si>
    <t>LYCHEES</t>
  </si>
  <si>
    <t>565 GR</t>
  </si>
  <si>
    <t>PANDAROO</t>
  </si>
  <si>
    <t>CAN</t>
  </si>
  <si>
    <t>STRAWBERRIES IQF</t>
  </si>
  <si>
    <t>Artificial Colours,Artificial Flavours,Aspartame,Bee Pollen,Caffeine,Cereals containing Gluten (and products thereof),Crustaceans (and products thereof),Egg and Egg Products,Evaporated Milk, Dried Milk made from Soy or Cereals,Fish and Fish Products,Guarana or extracts of Guarana,Milk and Milk Products,MSG,Peanuts and Peanut Products,Phytosterol, Phytostanols and Esters,Propolis,Quinine,Royal Jelly,Soybean and Soybean Products,Sulphur Dioxide and Sulphites in concentrations &gt; 10mg/kg (10mg/L),Tree Nuts and Tree Nut Products,Unpasteurised Egg Products,Unpasteurised Milk and Milk Products</t>
  </si>
  <si>
    <t xml:space="preserve">HERBS  SPICES &amp; SEASONINGS</t>
  </si>
  <si>
    <t>HERBS &amp; SPICES DRIED</t>
  </si>
  <si>
    <t>CINNAMON QUILLS</t>
  </si>
  <si>
    <t>KRIO KRUSH</t>
  </si>
  <si>
    <t>Almonds (as an ingredient),Artificial Colours,Artificial Flavours,Aspartame,Barley (as an ingredient),Bee Pollen,Brazil nuts (as an ingredient),Caffeine,Cashews (as an ingredient),Cereals containing Gluten (and products thereof),Crustaceans (and products thereof),Egg and Egg Products,Evaporated Milk, Dried Milk made from Soy or Cereals,Fish and Fish Products,Hazelnuts (as an ingredient),Lupine,Macadamia or Queensland nuts (as an ingredient),Milk and Milk Products,MSG,Oats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</si>
  <si>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Guarana or extracts of Guarana,Molluscs (and products thereof)</t>
  </si>
  <si>
    <t>CUMIN GROUND</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</si>
  <si>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ingredient),Molluscs (and products thereof),MSG,Mustard (and products thereof),Oats (as an ingredient),Pecan nuts (as an ingredient),Phytosterol, Phytostanols and Esters,Pine Nuts (as an ingredient),Pistachio nuts (as an ingredient),Propolis,Quinine,Royal Jelly,Rye (as an ingredient),Sulphur Dioxide and Sulphites in concentrations &gt; 10mg/kg (10mg/L),Unpasteurised Egg Products,Unpasteurised Milk and Milk Products,Walnuts (as an ingredient),Wheat (as an ingredient)</t>
  </si>
  <si>
    <t>Milk and Milk Products,Peanuts and Peanut Products,Sesame Seeds and Sesame Seed Products,Soybean and Soybean Products,Tree Nuts and Tree Nut Products</t>
  </si>
  <si>
    <t>GARLIC</t>
  </si>
  <si>
    <t>GARLIC CRUSHED</t>
  </si>
  <si>
    <t>GARLIC POWDER</t>
  </si>
  <si>
    <t>HORSERADISH</t>
  </si>
  <si>
    <t>HORSERADISH CREAM</t>
  </si>
  <si>
    <t>175 GR</t>
  </si>
  <si>
    <t>MASTERFOODS</t>
  </si>
  <si>
    <t>JAR</t>
  </si>
  <si>
    <t>Milk and Milk Products,Sulphur Dioxide and Sulphites in concentrations &gt; 10mg/kg (10mg/L)</t>
  </si>
  <si>
    <t>Artificial Colours,Artificial Flavours,Aspartame,Bee Pollen,Caffeine,Cereals containing Gluten (and products thereof),Crustaceans (and products thereof),Egg and Egg Products,Evaporated Milk, Dried Milk made from Soy or Cereals,Fish and Fish Products,Guarana or extracts of Guarana,Lupine,MSG,Peanuts and Peanut Products,Phytosterol, Phytostanols and Esters,Propolis,Quinine,Royal Jelly,Sesame Seeds and Sesame Seed Products,Soybean and Soybean Products,Tree Nuts and Tree Nut Products,Unpasteurised Egg Products,Unpasteurised Milk and Milk Products</t>
  </si>
  <si>
    <t>OREGANO LEAVES</t>
  </si>
  <si>
    <t>300 GR</t>
  </si>
  <si>
    <t>PAPRIKA SMOKEY</t>
  </si>
  <si>
    <t>Artificial Flavours</t>
  </si>
  <si>
    <t>Almonds (as an ingredient),Artificial Colours,Aspartame,Barley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</si>
  <si>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PAPRIKA SWEET</t>
  </si>
  <si>
    <t>PEPPER</t>
  </si>
  <si>
    <t>PEPPER LEMON</t>
  </si>
  <si>
    <t>MSG</t>
  </si>
  <si>
    <t>Artificial Colours,Artificial Flavours,Aspartame,Barley (as an ingredient),Bee Pollen,Caffeine,Crustaceans (and products thereof),Egg and Egg Products,Evaporated Milk, Dried Milk made from Soy or Cereals,Fish and Fish Products,Lupine,Molluscs (and products thereof),Oats (as an ingredient),Rye (as an ingredient)</t>
  </si>
  <si>
    <t>Almonds (as an ingredient),Brazil nuts (as an ingredient),Cashews (as an ingredient),Cereals containing Gluten (and products thereof),Hazelnuts (as an ingredient),Macadamia or Queensland nuts (as an ingredient),Milk and Milk Products,Peanuts and Peanut Products,Pecan nuts (as an ingredient),Pine Nuts (as an ingredient),Pistachio nuts (as an ingredient),Sesame Seeds and Sesame Seed Products,Soybean and Soybean Products,Sulphur Dioxide and Sulphites in concentrations &gt; 10mg/kg (10mg/L),Tree Nuts and Tree Nut Products,Walnuts (as an ingredient),Wheat (as an ingredient)</t>
  </si>
  <si>
    <t>PEPPERCORNS GREEN</t>
  </si>
  <si>
    <t>800 GR</t>
  </si>
  <si>
    <t>SANDHURST</t>
  </si>
  <si>
    <t>Almonds (as an ingredient),Artificial Colours,Artificial Flavours,Barley (as an ingredient),Brazil nuts (as an ingredient),Cashews (as an ingredient),Cereals containing Gluten (and products thereof),Fish and Fish Products,Hazelnuts (as an ingredient),Lupine,Macadamia or Queensland nuts (as an ingredient),Molluscs (and products thereof),MSG,Oats (as an ingredient),Pecan nuts (as an ingredient),Pine Nuts (as an ingredient),Pistachio nuts (as an ingredient),Rye (as an ingredient),Walnuts (as an ingredient),Wheat (as an ingredient)</t>
  </si>
  <si>
    <t>SALT</t>
  </si>
  <si>
    <t>SALT CHICKEN GLUTEN FREE (FLAVON)</t>
  </si>
  <si>
    <t>Almonds (as an ingredient),Artificial Colours,Artificial Flavours,Aspartame,Barley (as an ingredient),Bee Pollen,Brazil nuts (as an ingredient),Caffeine,Cashews (as an ingredient),Cereals containing Gluten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thereof),Oats (as an ingredient),Peanuts and Peanut Products,Pecan nuts (as an ingredient),Phytosterol, Phytostanols and Esters,Pine Nuts (as an ingredient),Pistachio nuts (as an ingredient),Propolis,Quinine,Royal Jelly,Rye (as an ingredient),Soybean and Soybean Products,Sulphur Dioxide and Sulphites in concentrations &gt; 10mg/kg (10mg/L),Tree Nuts and Tree Nut Products,Unpasteurised Egg Products,Unpasteurised Milk and Milk Products,Walnuts (as an ingredient),Wheat (as an ingredient)</t>
  </si>
  <si>
    <t>SALT SEA FLAKES NATURAL</t>
  </si>
  <si>
    <t>CORNISH</t>
  </si>
  <si>
    <t>Almonds (as an ingredient),Artificial Colours,Artificial Flavours,Barley (as an ingredient),Brazil nuts (as an ingredient),Cashews (as an ingredient),Cereals containing Gluten (and products thereof),Egg and Egg Products,Fish and Fish Products,Hazelnuts (as an ingredient),Lupine,Macadamia or Queensland nuts (as an ingredient),Milk and Milk Products,Molluscs (and products thereof),MSG,Oats (as an ingredient),Peanuts and Peanut Products,Pecan nuts (as an ingredient),Pine Nuts (as an ingredient),Pistachio nuts (as an ingredient),Rye (as an ingredient),Sesame Seeds and Sesame Seed Products,Soybean and Soybean Products,Tree Nuts and Tree Nut Products,Walnuts (as an ingredient),Wheat (as an ingredient)</t>
  </si>
  <si>
    <t>SEASONINGS &amp; SPRINKLES</t>
  </si>
  <si>
    <t>SEASONING AMERICAN TEXAN STYLE DRY RUB</t>
  </si>
  <si>
    <t>700 GR</t>
  </si>
  <si>
    <t>SEASONING MOROCCAN</t>
  </si>
  <si>
    <t>755 GR</t>
  </si>
  <si>
    <t>ICE &amp; ICE CREAM</t>
  </si>
  <si>
    <t>GELATI &amp; SORBET</t>
  </si>
  <si>
    <t>GELATI ARTISAN ITALIAN PISTACHIO</t>
  </si>
  <si>
    <t>EVEREST</t>
  </si>
  <si>
    <t>Artificial Colours,Milk and Milk Products,Pistachio nuts (as an ingredient),Tree Nuts and Tree Nut Products</t>
  </si>
  <si>
    <t>Artificial Flavours,Aspartame,Bee Pollen,Caffeine,Crustaceans (and products thereof),Evaporated Milk, Dried Milk made from Soy or Cereals,Fish and Fish Products,Lupine,Molluscs (and products thereof),MSG,Phytosterol, Phytostanols and Esters,Propolis,Quinine,Royal Jelly,Sulphur Dioxide and Sulphites in concentrations &gt; 10mg/kg (10mg/L),Unpasteurised Egg Products,Unpasteurised Milk and Milk Products</t>
  </si>
  <si>
    <t>Almonds (as an ingredient),Brazil nuts (as an ingredient),Cashews (as an ingredient),Cereals containing Gluten (and products thereof),Egg and Egg Products,Hazelnuts (as an ingredient),Macadamia or Queensland nuts (as an ingredient),Peanuts and Peanut Products,Pecan nuts (as an ingredient),Pine Nuts (as an ingredient),Sesame Seeds and Sesame Seed Products,Soybean and Soybean Products,Walnuts (as an ingredient)</t>
  </si>
  <si>
    <t>Barley (as an ingredient),Celery / Celeriac (and products thereof),Guarana or extracts of Guarana,Mustard (and products thereof),Oats (as an ingredient),Rye (as an ingredient),Wheat (as an ingredient)</t>
  </si>
  <si>
    <t>ICE CREAM TUBS &amp; BULK</t>
  </si>
  <si>
    <t>ICE CREAM VANILLA BEAN</t>
  </si>
  <si>
    <t>Artificial Flavours,Egg and Egg Products,Milk and Milk Products</t>
  </si>
  <si>
    <t>Almonds (as an ingredient),Artificial Colours,Aspartame,Barley (as an ingredient),Bee Pollen,Brazil nuts (as an ingredient),Caffeine,Cashews (as an ingredient),Celery / Celeriac (and products thereof),Crustaceans (and products thereof),Evaporated Milk, Dried Milk made from Soy or Cereals,Fish and Fish Products,Guarana or extracts of Guarana,Hazelnuts (as an ingredient),Lupine,Macadamia or Queensland nuts (as an ingredient),Molluscs (and products thereof),MSG,Mustard (and products thereof),Oats (as an ingredient),Pecan nuts (as an ingredient),Phytosterol, Phytostanols and Esters,Pine Nuts (as an ingredient),Pistachio nuts (as an ingredient),Propolis,Quinine,Royal Jelly,Rye (as an ingredient),Sulphur Dioxide and Sulphites in concentrations &gt; 10mg/kg (10mg/L),Unpasteurised Egg Products,Unpasteurised Milk and Milk Products,Walnuts (as an ingredient),Wheat (as an ingredient)</t>
  </si>
  <si>
    <t>Cereals containing Gluten (and products thereof),Peanuts and Peanut Products,Sesame Seeds and Sesame Seed Products,Soybean and Soybean Products,Tree Nuts and Tree Nut Products</t>
  </si>
  <si>
    <t>INTERNATIONAL FOODS</t>
  </si>
  <si>
    <t>MEXICAN FOODS</t>
  </si>
  <si>
    <t>CHIPOTLE PEPPERS IN ADOBO SAUCE</t>
  </si>
  <si>
    <t>2.8 KG</t>
  </si>
  <si>
    <t>COCONUT MILK &amp; CREAM</t>
  </si>
  <si>
    <t>COCONUT MILK POWDER</t>
  </si>
  <si>
    <t>KNORR</t>
  </si>
  <si>
    <t>Artificial Colours,Artificial Flavours,Crustaceans (and products thereof),Lupine,Molluscs (and products thereof),MSG,Peanuts and Peanut Products,Sesame Seeds and Sesame Seed Products,Sulphur Dioxide and Sulphites in concentrations &gt; 10mg/kg (10mg/L),Tree Nuts and Tree Nut Products</t>
  </si>
  <si>
    <t>Cereals containing Gluten (and products thereof),Egg and Egg Products,Fish and Fish Products,Soybean and Soybean Products,Wheat (as an ingredient)</t>
  </si>
  <si>
    <t>Almonds (as an ingredient),Aspartame,Barley (as an ingredient),Bee Pollen,Brazil nuts (as an ingredient),Caffeine,Cashews (as an ingredient),Celery / Celeriac (and products thereof),Evaporated Milk, Dried Milk made from Soy or Cereals,Guarana or extracts of Guarana,Hazelnuts (as an ingredient),Macadamia or Queensland nuts (as an ingredient),Mustard (and products thereof),Oats (as an ingredient),Pecan nuts (as an ingredient),Phytosterol, Phytostanols and Esters,Pine Nuts (as an ingredient),Pistachio nuts (as an ingredient),Propolis,Quinine,Royal Jelly,Rye (as an ingredient),Unpasteurised Egg Products,Unpasteurised Milk and Milk Products,Walnuts (as an ingredient)</t>
  </si>
  <si>
    <t>SALSA MILD CHUNKY</t>
  </si>
  <si>
    <t>Almonds (as an ingredient),Artificial Colours,Artificial Flavours,Aspartame,Barley (as an ingredient),Bee Pollen,Brazil nuts (as an ingredient),Caffeine,Cashews (as an ingredient),Cereals containing Gluten (and products thereof),Crustaceans (and products thereof),Egg and Egg Products,Evaporated Milk, Dried Milk made from Soy or Cereals,Fish and Fish Products,Hazelnuts (as an ingredient),Lupine,Macadamia or Queensland nuts (as an ingredient),Milk and Milk Products,Molluscs (and products thereof),MSG,Oats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</si>
  <si>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SEASONING TACO</t>
  </si>
  <si>
    <t>TIN</t>
  </si>
  <si>
    <t>Almonds (as an ingredient),Artificial Colours,Artificial Flavours,Aspartame,Barley (as an ingredient),Brazil nuts (as an ingredient),Cashews (as an ingredient),Cereals containing Gluten (and products thereof),Fish and Fish Products,Hazelnuts (as an ingredient),Lupine,Macadamia or Queensland nuts (as an ingredient),Molluscs (and products thereof),MSG,Oats (as an ingredient),Pecan nuts (as an ingredient),Pine Nuts (as an ingredient),Pistachio nuts (as an ingredient),Rye (as an ingredient),Walnuts (as an ingredient),Wheat (as an ingredient)</t>
  </si>
  <si>
    <t>TACO SHELLS BULK</t>
  </si>
  <si>
    <t>200'S</t>
  </si>
  <si>
    <t>LAMB PORTIONED</t>
  </si>
  <si>
    <t>LAMB</t>
  </si>
  <si>
    <t>LAMB MINCE FROZEN</t>
  </si>
  <si>
    <t>Almonds (as an ingredient),Artificial Colours,Artificial Flavours,Barley (as an ingredient),Brazil nuts (as an ingredient),Cashews (as an ingredient),Cereals containing Gluten (and products thereof),Crustaceans (and products thereof),Egg and Egg Products,Fish and Fish Products,Hazelnuts (as an ingredient),Lupine,Macadamia or Queensland nuts (as an ingredient),Milk and Milk Products,Molluscs (and products thereof),MSG,Oats (as an ingredient),Peanuts and Peanut Products,Pecan nuts (as an ingredient),Pine Nuts (as an ingredient),Pistachio nuts (as an ingredient),Rye (as an ingredient),Soybean and Soybean Products,Sulphur Dioxide and Sulphites in concentrations &gt; 10mg/kg (10mg/L),Tree Nuts and Tree Nut Products,Walnuts (as an ingredient),Wheat (as an ingredient)</t>
  </si>
  <si>
    <t>MISCELLANEOUS</t>
  </si>
  <si>
    <t>NAPKINS</t>
  </si>
  <si>
    <t>NAPKINS 2 PLY COCKTAIL QUARTER FOLD WHITE</t>
  </si>
  <si>
    <t>250'S</t>
  </si>
  <si>
    <t>CASTAWAY</t>
  </si>
  <si>
    <t>PICKS AND SKEWARS</t>
  </si>
  <si>
    <t>SKEWERS GUN 15CM</t>
  </si>
  <si>
    <t>TEATOWELS</t>
  </si>
  <si>
    <t>TEA TOWEL LARGE BLUE CHECK 60 X 90CM</t>
  </si>
  <si>
    <t/>
  </si>
  <si>
    <t>TEA TOWEL LARGE GREEN CHECK 60 X 90CM</t>
  </si>
  <si>
    <t>OILS &amp; FATS</t>
  </si>
  <si>
    <t>CANOLA</t>
  </si>
  <si>
    <t>OIL CANOLA (PLASTIC DRUM)</t>
  </si>
  <si>
    <t>20 LT</t>
  </si>
  <si>
    <t>SOPRA</t>
  </si>
  <si>
    <t>Artificial Colours,Artificial Flavours,Cereals containing Gluten (and products thereof),Egg and Egg Products,Fish and Fish Products,Guarana or extracts of Guarana,Lupine,Milk and Milk Products,MSG,Peanuts and Peanut Products,Sesame Seeds and Sesame Seed Products,Soybean and Soybean Products,Tree Nuts and Tree Nut Products</t>
  </si>
  <si>
    <t>OIL OLIVE</t>
  </si>
  <si>
    <t>OIL OLIVE BLEND TUSCAN PURA</t>
  </si>
  <si>
    <t>PEERLESS</t>
  </si>
  <si>
    <t>DRUM</t>
  </si>
  <si>
    <t>OIL OLIVE EXTRA VIRGIN</t>
  </si>
  <si>
    <t>4 LT</t>
  </si>
  <si>
    <t>Almonds (as an ingredient),Artificial Colours,Artificial Flavours,Barley (as an ingredient),Brazil nuts (as an ingredient),Cashews (as an ingredient),Cereals containing Gluten (and products thereof),Egg and Egg Products,Fish and Fish Products,Hazelnuts (as an ingredient),Lupine,Macadamia or Queensland nuts (as an ingredient),Milk and Milk Products,Molluscs (and products thereof),MSG,Oats (as an ingredient),Peanuts and Peanut Products,Pecan nuts (as an ingredient),Pistachio nuts (as an ingredient),Rye (as an ingredient),Sesame Seeds and Sesame Seed Products,Soybean and Soybean Products,Tree Nuts and Tree Nut Products,Walnuts (as an ingredient),Wheat (as an ingredient)</t>
  </si>
  <si>
    <t>OIL VEGETABLE</t>
  </si>
  <si>
    <t>OIL VEGETABLE BLENDED (PLASTIC DRUM)</t>
  </si>
  <si>
    <t>Almonds (as an ingredient),Artificial Colours,Artificial Flavours,Barley (as an ingredient),Brazil nuts (as an ingredient),Cashews (as an ingredient),Cereals containing Gluten (and products thereof),Egg and Egg Products,Fish and Fish Products,Hazelnuts (as an ingredient),Lupine,Macadamia or Queensland nuts (as an ingredient),Milk and Milk Products,Molluscs (and products thereof),MSG,Oats (as an ingredient),Peanuts and Peanut Products,Pecan nuts (as an ingredient),Pine Nuts (as an ingredient),Pistachio nuts (as an ingredient),Rye (as an ingredient),Sesame Seeds and Sesame Seed Products,Tree Nuts and Tree Nut Products,Walnuts (as an ingredient),Wheat (as an ingredient)</t>
  </si>
  <si>
    <t>Oysters</t>
  </si>
  <si>
    <t>OYSTERS</t>
  </si>
  <si>
    <t>OYSTERS HALF SHELL LARGE (I)</t>
  </si>
  <si>
    <t>10 DOZEN</t>
  </si>
  <si>
    <t>SEA PRODUCTS</t>
  </si>
  <si>
    <t>Molluscs (and products thereof)</t>
  </si>
  <si>
    <t>OYSTERS HALF SHELL MEDIUM PREMIUM (I)</t>
  </si>
  <si>
    <t>Almonds (as an ingredient),Artificial Colours,Artificial Flavours,Aspartame,Barley (as an ingredient),Bee Pollen,Brazil nuts (as an ingredient),Cashews (as an ingredient),Cereals containing Gluten (and products thereof),Crustaceans (and products thereof),Egg and Egg Products,Evaporated Milk, Dried Milk made from Soy or Cereals,Fish and Fish Products,Hazelnuts (as an ingredient),Lupine,Macadamia or Queensland nuts (as an ingredient),Milk and Milk Products,MSG,Oats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</si>
  <si>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OYSTERS HALF SHELL STANDARD (I)</t>
  </si>
  <si>
    <t>10 DOZ</t>
  </si>
  <si>
    <t>Fish and Fish Products,Molluscs (and products thereof)</t>
  </si>
  <si>
    <t>Almonds (as an ingredient),Artificial Colours,Artificial Flavours,Aspartame,Barley (as an ingredient),Bee Pollen,Brazil nuts (as an ingredient),Caffeine,Cashews (as an ingredient),Cereals containing Gluten (and products thereof),Crustaceans (and products thereof),Egg and Egg Products,Evaporated Milk, Dried Milk made from Soy or Cereals,Hazelnuts (as an ingredient),Lupine,Macadamia or Queensland nuts (as an ingredient),Milk and Milk Products,MSG,Oats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</si>
  <si>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PACKAGING</t>
  </si>
  <si>
    <t>Clingwrap</t>
  </si>
  <si>
    <t>CLINGWRAP DISPENSER</t>
  </si>
  <si>
    <t>600M X 45CM</t>
  </si>
  <si>
    <t>ROLL</t>
  </si>
  <si>
    <t>Food Boxes</t>
  </si>
  <si>
    <t>CONTAINER PAPER BOARD FAMILY BOX</t>
  </si>
  <si>
    <t>50'S</t>
  </si>
  <si>
    <t>HUHTAMAKI</t>
  </si>
  <si>
    <t>BUNDLE</t>
  </si>
  <si>
    <t>Rectangular Takeaway Containers</t>
  </si>
  <si>
    <t>CONTAINER RECTANGLE 500ML CR500 172X120X39MM</t>
  </si>
  <si>
    <t>CHANROL</t>
  </si>
  <si>
    <t>CONTAINER RECTANGLE PLASTIC 1000ML MICROWAVABLE</t>
  </si>
  <si>
    <t>Disposable Cutlery</t>
  </si>
  <si>
    <t>CUTLERY PACK KNIFE FORK &amp; NAPKIN</t>
  </si>
  <si>
    <t>BIOPAK</t>
  </si>
  <si>
    <t>Lids</t>
  </si>
  <si>
    <t>LIDS RECTANGLE PLASTIC COMMON 500-1000ML M/WAVABLE</t>
  </si>
  <si>
    <t>Baking Paper</t>
  </si>
  <si>
    <t>PAPER EASY-BAKE 40.5CM DISPENSER</t>
  </si>
  <si>
    <t>120 MT</t>
  </si>
  <si>
    <t>Sandwich Wedges</t>
  </si>
  <si>
    <t>SANDWICH WEDGE CLEAR LARGE 170X84X85MM</t>
  </si>
  <si>
    <t>MARINUCCI</t>
  </si>
  <si>
    <t>SLEEVE</t>
  </si>
  <si>
    <t>PASTRIES &amp; PIES</t>
  </si>
  <si>
    <t>PIES PARTY/COCKTAIL</t>
  </si>
  <si>
    <t>PIES PARTY PROPER LITTLE CLASSIC BEEF</t>
  </si>
  <si>
    <t>48 X 60GR</t>
  </si>
  <si>
    <t>NATIONAL PIES</t>
  </si>
  <si>
    <t>Cereals containing Gluten (and products thereof),Evaporated Milk, Dried Milk made from Soy or Cereals,Milk and Milk Products,MSG,Soybean and Soybean Products,Wheat (as an ingredient)</t>
  </si>
  <si>
    <t>Almonds (as an ingredient),Barley (as an ingredient),Brazil nuts (as an ingredient),Cashews (as an ingredient),Crustaceans (and products thereof),Egg and Egg Products,Fish and Fish Products,Hazelnuts (as an ingredient),Lupine,Macadamia or Queensland nuts (as an ingredient),Molluscs (and products thereof),Oats (as an ingredient),Peanuts and Peanut Products,Pecan nuts (as an ingredient),Pine Nuts (as an ingredient),Pistachio nuts (as an ingredient),Rye (as an ingredient),Sesame Seeds and Sesame Seed Products,Sulphur Dioxide and Sulphites in concentrations &gt; 10mg/kg (10mg/L),Tree Nuts and Tree Nut Products,Unpasteurised Egg Products,Unpasteurised Milk and Milk Products,Walnuts (as an ingredient)</t>
  </si>
  <si>
    <t>Aspartame,Bee Pollen,Caffeine,Phytosterol, Phytostanols and Esters,Propolis,Quinine,Royal Jelly</t>
  </si>
  <si>
    <t>QUICHE &amp; TART</t>
  </si>
  <si>
    <t>QUICHE PARTY COMBO PACK</t>
  </si>
  <si>
    <t>72 X 46GR</t>
  </si>
  <si>
    <t>PATTIES</t>
  </si>
  <si>
    <t>Cereals containing Gluten (and products thereof),Cereals containing Gluten (and products thereof),Cereals containing Gluten (and products thereof),Cereals containing Gluten (and products thereof),Egg and Egg Products,Egg and Egg Products,Egg and Egg Products,Egg and Egg Products,Evaporated Milk, Dried Milk made from Soy or Cereals,Milk and Milk Products,Milk and Milk Products,Milk and Milk Products,Milk and Milk Products,Soybean and Soybean Products,Soybean and Soybean Products,Soybean and Soybean Products,Soybean and Soybean Products,Sulphur Dioxide and Sulphites in concentrations &gt; 10mg/kg (10mg/L),Wheat (as an ingredient),Wheat (as an ingredient),Wheat (as an ingredient),Wheat (as an ingredient)</t>
  </si>
  <si>
    <t>Almonds (as an ingredient),Almonds (as an ingredient),Almonds (as an ingredient),Almonds (as an ingredient),Artificial Colours,Artificial Colours,Artificial Colours,Artificial Colours,Artificial Flavours,Artificial Flavours,Artificial Flavours,Artificial Flavours,Aspartame,Aspartame,Aspartame,Aspartame,Barley (as an ingredient),Barley (as an ingredient),Barley (as an ingredient),Barley (as an ingredient),Bee Pollen,Bee Pollen,Bee Pollen,Bee Pollen,Brazil nuts (as an ingredient),Brazil nuts (as an ingredient),Brazil nuts (as an ingredient),Brazil nuts (as an ingredient),Caffeine,Caffeine,Caffeine,Caffeine,Cashews (as an ingredient),Cashews (as an ingredient),Cashews (as an ingredient),Cashews (as an ingredient),Celery / Celeriac (and products thereof),Celery / Celeriac (and products thereof),Crustaceans (and products thereof),Crustaceans (and products thereof),Crustaceans (and products thereof),Crustaceans (and products thereof),Evaporated Milk, Dried Milk made from Soy or Cereals,Evaporated Milk, Dried Milk made from Soy or Cereals,Evaporated Milk, Dried Milk made from Soy or Cereals,Fish and Fish Products,Fish and Fish Products,Fish and Fish Products,Fish and Fish Products,Guarana or extracts of Guarana,Guarana or extracts of Guarana,Guarana or extracts of Guarana,Guarana or extracts of Guarana,Hazelnuts (as an ingredient),Hazelnuts (as an ingredient),Hazelnuts (as an ingredient),Hazelnuts (as an ingredient),Lupine,Lupine,Lupine,Lupine,Macadamia or Queensland nuts (as an ingredient),Macadamia or Queensland nuts (as an ingredient),Macadamia or Queensland nuts (as an ingredient),Macadamia or Queensland nuts (as an ingredient),Molluscs (and products thereof),Molluscs (and products thereof),Molluscs (and products thereof),Molluscs (and products thereof),MSG,MSG,MSG,MSG,Mustard (and products thereof),Mustard (and products thereof),Oats (as an ingredient),Oats (as an ingredient),Oats (as an ingredient),Oats (as an ingredient),Peanuts and Peanut Products,Peanuts and Peanut Products,Peanuts and Peanut Products,Peanuts and Peanut Products,Pecan nuts (as an ingredient),Pecan nuts (as an ingredient),Pecan nuts (as an ingredient),Pecan nuts (as an ingredient),Phytosterol, Phytostanols and Esters,Phytosterol, Phytostanols and Esters,Phytosterol, Phytostanols and Esters,Phytosterol, Phytostanols and Esters,Pine Nuts (as an ingredient),Pine Nuts (as an ingredient),Pine Nuts (as an ingredient),Pine Nuts (as an ingredient),Pistachio nuts (as an ingredient),Pistachio nuts (as an ingredient),Pistachio nuts (as an ingredient),Pistachio nuts (as an ingredient),Propolis,Propolis,Propolis,Propolis,Quinine,Quinine,Quinine,Quinine,Royal Jelly,Royal Jelly,Royal Jelly,Royal Jelly,Rye (as an ingredient),Rye (as an ingredient),Rye (as an ingredient),Rye (as an ingredient),Sesame Seeds and Sesame Seed Products,Sesame Seeds and Sesame Seed Products,Sesame Seeds and Sesame Seed Products,Sesame Seeds and Sesame Seed Products,Sulphur Dioxide and Sulphites in concentrations &gt; 10mg/kg (10mg/L),Sulphur Dioxide and Sulphites in concentrations &gt; 10mg/kg (10mg/L),Sulphur Dioxide and Sulphites in concentrations &gt; 10mg/kg (10mg/L),Tree Nuts and Tree Nut Products,Tree Nuts and Tree Nut Products,Tree Nuts and Tree Nut Products,Tree Nuts and Tree Nut Products,Unpasteurised Egg Products,Unpasteurised Egg Products,Unpasteurised Egg Products,Unpasteurised Egg Products,Unpasteurised Milk and Milk Products,Unpasteurised Milk and Milk Products,Unpasteurised Milk and Milk Products,Unpasteurised Milk and Milk Products,Walnuts (as an ingredient),Walnuts (as an ingredient),Walnuts (as an ingredient),Walnuts (as an ingredient)</t>
  </si>
  <si>
    <t>SAUSAGE ROLLS &amp; ASSTED ROLLS</t>
  </si>
  <si>
    <t>ROLLS GOURMET 125MM GLUTEN FREE VEGAN</t>
  </si>
  <si>
    <t>30 X 140GR</t>
  </si>
  <si>
    <t>Sesame Seeds and Sesame Seed Products,Soybean and Soybean Products</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</si>
  <si>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thereof),Evaporated Milk, Dried Milk made from Soy or Cereals,Fish and Fish Products,Guarana or extracts of Guarana,Hazelnuts (as an ingredient),Lupine,Macadamia or Queensland nuts (as an ingredient),Molluscs (and products thereof),MSG,Mustard (and products thereof),Oats (as an ingredient),Pecan nuts (as an ingredient),Phytosterol, Phytostanols and Esters,Pine Nuts (as an ingredient),Pistachio nuts (as an ingredient),Propolis,Quinine,Royal Jelly,Rye (as an ingredient),Sulphur Dioxide and Sulphites in concentrations &gt; 10mg/kg (10mg/L),Unpasteurised Egg Products,Unpasteurised Milk and Milk Products,Walnuts (as an ingredient),Wheat (as an ingredient)</t>
  </si>
  <si>
    <t>Egg and Egg Products,Milk and Milk Products,Peanuts and Peanut Products,Tree Nuts and Tree Nut Products</t>
  </si>
  <si>
    <t>SAUSAGE ROLLS PARTY/COCKTAIL</t>
  </si>
  <si>
    <t>ROLLS MINI SPINACH &amp; RICOTTA</t>
  </si>
  <si>
    <t>48 X 22GR</t>
  </si>
  <si>
    <t>Almonds (as an ingredient),Artificial Colours,Artificial Flavours,Aspartame,Barley (as an ingredient),Bee Pollen,Brazil nuts (as an ingredient),Caffeine,Cashews (as an ingredient),Crustaceans (and products thereof),Fish and Fish Products,Hazelnuts (as an ingredient),Macadamia or Queensland nuts (as an ingredient),Molluscs (and products thereof),MSG,Oats (as an ingredient),Peanuts and Peanut Products,Pecan nuts (as an ingredient),Phytosterol, Phytostanols and Esters,Pine Nuts (as an ingredient),Pistachio nuts (as an ingredient),Propolis,Quinine,Royal Jelly,Rye (as an ingredient),Sulphur Dioxide and Sulphites in concentrations &gt; 10mg/kg (10mg/L),Tree Nuts and Tree Nut Products,Unpasteurised Egg Products,Unpasteurised Milk and Milk Products,Walnuts (as an ingredient)</t>
  </si>
  <si>
    <t>ROLLS SPINACH &amp; FETTA GOURMET LARGE</t>
  </si>
  <si>
    <t>8 X 180GR</t>
  </si>
  <si>
    <t>Artificial Colours,Artificial Flavours,Cereals containing Gluten (and products thereof),Egg and Egg Products,Milk and Milk Products,Soybean and Soybean Products,Wheat (as an ingredient)</t>
  </si>
  <si>
    <t>Almonds (as an ingredient),Aspartame,Barley (as an ingredient),Bee Pollen,Brazil nuts (as an ingredient),Caffeine,Cashews (as an ingredient),Celery / Celeriac (and products thereof),Crustaceans (and products thereof),Evaporated Milk, Dried Milk made from Soy or Cereals,Fish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Products,Sulphur Dioxide and Sulphites in concentrations &gt; 10mg/kg (10mg/L),Tree Nuts and Tree Nut Products,Unpasteurised Egg Products,Unpasteurised Milk and Milk Products,Walnuts (as an ingredient)</t>
  </si>
  <si>
    <t>SAUSAGE ROLLS FLAKY PASTRY</t>
  </si>
  <si>
    <t>60 X 160GR</t>
  </si>
  <si>
    <t>Cereals containing Gluten (and products thereof),Milk and Milk Products,Oats (as an ingredient),Rye (as an ingredient),Soybean and Soybean Products,Sulphur Dioxide and Sulphites in concentrations &gt; 10mg/kg (10mg/L),Wheat (as an ingredient)</t>
  </si>
  <si>
    <t>Almonds (as an ingredient),Artificial Colours,Artificial Flavours,Aspartame,Barley (as an ingredient),Bee Pollen,Brazil nuts (as an ingredient),Caffeine,Cashews (as an ingredient),Celery / Celeriac (and products thereof),Crustaceans (and products thereof),Fish and Fish Products,Guarana or extracts of Guarana,Hazelnuts (as an ingredient),Macadamia or Queensland nuts (as an ingredient),Molluscs (and products thereof),MSG,Mustard (and products thereof),Pecan nuts (as an ingredient),Phytosterol, Phytostanols and Esters,Pine Nuts (as an ingredient),Pistachio nuts (as an ingredient),Propolis,Quinine,Royal Jelly,Unpasteurised Egg Products,Unpasteurised Milk and Milk Products,Walnuts (as an ingredient)</t>
  </si>
  <si>
    <t>Egg and Egg Products,Evaporated Milk, Dried Milk made from Soy or Cereals,Lupine,Peanuts and Peanut Products,Sesame Seeds and Sesame Seed Products,Tree Nuts and Tree Nut Products</t>
  </si>
  <si>
    <t>SAUSAGE ROLLS PARTY PROPER LITTLE</t>
  </si>
  <si>
    <t>Cereals containing Gluten (and products thereof),Evaporated Milk, Dried Milk made from Soy or Cereals,Milk and Milk Products,MSG,Soybean and Soybean Products,Sulphur Dioxide and Sulphites in concentrations &gt; 10mg/kg (10mg/L),Wheat (as an ingredient)</t>
  </si>
  <si>
    <t>Almonds (as an ingredient),Barley (as an ingredient),Bee Pollen,Brazil nuts (as an ingredient),Cashews (as an ingredient),Crustaceans (and products thereof),Egg and Egg Products,Fish and Fish Products,Hazelnuts (as an ingredient),Lupine,Macadamia or Queensland nuts (as an ingredient),Molluscs (and products thereof),Oats (as an ingredient),Peanuts and Peanut Products,Pecan nuts (as an ingredient),Pine Nuts (as an ingredient),Pistachio nuts (as an ingredient),Rye (as an ingredient),Sesame Seeds and Sesame Seed Products,Tree Nuts and Tree Nut Products,Unpasteurised Egg Products,Unpasteurised Milk and Milk Products,Walnuts (as an ingredient)</t>
  </si>
  <si>
    <t>Aspartame,Caffeine,Phytosterol, Phytostanols and Esters,Propolis,Quinine,Royal Jelly</t>
  </si>
  <si>
    <t xml:space="preserve">PESTOS  DIPS &amp; PATE</t>
  </si>
  <si>
    <t>DIPS</t>
  </si>
  <si>
    <t>DIP AVOCADO (FRESH)</t>
  </si>
  <si>
    <t>CASA DE MARE</t>
  </si>
  <si>
    <t>Almonds (as an ingredient),Artificial Colours,Artificial Flavours,Barley (as an ingredient),Brazil nuts (as an ingredient),Cereals containing Gluten (and products thereof),Hazelnuts (as an ingredient),Macadamia or Queensland nuts (as an ingredient),Milk and Milk Products,Molluscs (and products thereof),MSG,Oats (as an ingredient),Peanuts and Peanut Products,Pecan nuts (as an ingredient),Pine Nuts (as an ingredient),Pistachio nuts (as an ingredient),Rye (as an ingredient),Soybean and Soybean Products,Sulphur Dioxide and Sulphites in concentrations &gt; 10mg/kg (10mg/L),Walnuts (as an ingredient),Wheat (as an ingredient)</t>
  </si>
  <si>
    <t>Cashews (as an ingredient),Fish and Fish Products,Lupine,Sesame Seeds and Sesame Seed Products,Tree Nuts and Tree Nut Products</t>
  </si>
  <si>
    <t>DIP EGGPLANT (FRESH)</t>
  </si>
  <si>
    <t>Almonds (as an ingredient),Artificial Colours,Artificial Flavours,Barley (as an ingredient),Brazil nuts (as an ingredient),Cereals containing Gluten (and products thereof),Hazelnuts (as an ingredient),Macadamia or Queensland nuts (as an ingredient),Molluscs (and products thereof),MSG,Oats (as an ingredient),Peanuts and Peanut Products,Pecan nuts (as an ingredient),Pine Nuts (as an ingredient),Pistachio nuts (as an ingredient),Rye (as an ingredient),Walnuts (as an ingredient),Wheat (as an ingredient)</t>
  </si>
  <si>
    <t>Cashews (as an ingredient),Fish and Fish Products,Lupine,Milk and Milk Products,Sesame Seeds and Sesame Seed Products,Soybean and Soybean Products,Tree Nuts and Tree Nut Products</t>
  </si>
  <si>
    <t>DIP HOMMUS BEETROOT</t>
  </si>
  <si>
    <t>WOMBAT VALLEY</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</si>
  <si>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ingredient),Sulphur Dioxide and Sulphites in concentrations &gt; 10mg/kg (10mg/L),Tree Nuts and Tree Nut Products,Unpasteurised Egg Products,Unpasteurised Milk and Milk Products,Walnuts (as an ingredient),Wheat (as an ingredient)</t>
  </si>
  <si>
    <t>DIP SPICY CAPSICUM (FRESH)</t>
  </si>
  <si>
    <t>Almonds (as an ingredient),Artificial Colours,Artificial Flavours,Barley (as an ingredient),Brazil nuts (as an ingredient),Hazelnuts (as an ingredient),Lupine,Macadamia or Queensland nuts (as an ingredient),Molluscs (and products thereof),MSG,Oats (as an ingredient),Peanuts and Peanut Products,Pecan nuts (as an ingredient),Pine Nuts (as an ingredient),Pistachio nuts (as an ingredient),Rye (as an ingredient),Sulphur Dioxide and Sulphites in concentrations &gt; 10mg/kg (10mg/L),Walnuts (as an ingredient),Wheat (as an ingredient)</t>
  </si>
  <si>
    <t>Cashews (as an ingredient),Cereals containing Gluten (and products thereof),Fish and Fish Products,Milk and Milk Products,Sesame Seeds and Sesame Seed Products,Soybean and Soybean Products,Tree Nuts and Tree Nut Products</t>
  </si>
  <si>
    <t>DIP TZATZIKI (FRESH)</t>
  </si>
  <si>
    <t>Almonds (as an ingredient),Artificial Colours,Artificial Flavours,Barley (as an ingredient),Brazil nuts (as an ingredient),Cereals containing Gluten (and products thereof),Hazelnuts (as an ingredient),Macadamia or Queensland nuts (as an ingredient),Molluscs (and products thereof),MSG,Oats (as an ingredient),Peanuts and Peanut Products,Pecan nuts (as an ingredient),Pine Nuts (as an ingredient),Pistachio nuts (as an ingredient),Rye (as an ingredient),Soybean and Soybean Products,Sulphur Dioxide and Sulphites in concentrations &gt; 10mg/kg (10mg/L),Walnuts (as an ingredient),Wheat (as an ingredient)</t>
  </si>
  <si>
    <t>Cashews (as an ingredient),Egg and Egg Products,Fish and Fish Products,Lupine,Sesame Seeds and Sesame Seed Products,Tree Nuts and Tree Nut Products</t>
  </si>
  <si>
    <t>PESTO</t>
  </si>
  <si>
    <t>PESTO BASIL</t>
  </si>
  <si>
    <t>Cashews (as an ingredient),Milk and Milk Products,Tree Nuts and Tree Nut Products</t>
  </si>
  <si>
    <t>Almonds (as an ingredient),Artificial Colours,Artificial Flavours,Aspartame,Barley (as an ingredient),Bee Pollen,Brazil nuts (as an ingredient),Caffeine,Cereals containing Gluten (and products thereof),Crustaceans (and products thereof),Egg and Egg Products,Evaporated Milk, Dried Milk made from Soy or Cereals,Fish and Fish Products,Guarana or extracts of Guarana,Hazelnuts (as an ingredient),Lupine,Macadamia or Queensland nuts (as an ingredient),Molluscs (and products thereof),MSG,Oats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(10mg/L),Unpasteurised Egg Products,Unpasteurised Milk and Milk Products,Walnuts (as an ingredient),Wheat (as an ingredient)</t>
  </si>
  <si>
    <t>PESTO BASIL VEGAN GLUTEN FREE (FRESH)</t>
  </si>
  <si>
    <t>Cashews (as an ingredient),Soybean and Soybean Products,Tree Nuts and Tree Nut Products</t>
  </si>
  <si>
    <t>Almonds (as an ingredient),Artificial Colours,Artificial Flavours,Barley (as an ingredient),Brazil nuts (as an ingredient),Cereals containing Gluten (and products thereof),Hazelnuts (as an ingredient),Macadamia or Queensland nuts (as an ingredient),Milk and Milk Products,Molluscs (and products thereof),MSG,Oats (as an ingredient),Peanuts and Peanut Products,Pecan nuts (as an ingredient),Pistachio nuts (as an ingredient),Rye (as an ingredient),Walnuts (as an ingredient),Wheat (as an ingredient)</t>
  </si>
  <si>
    <t>Egg and Egg Products,Fish and Fish Products,Lupine,Sesame Seeds and Sesame Seed Products</t>
  </si>
  <si>
    <t>PORK PRIMALS</t>
  </si>
  <si>
    <t>PORK SHOULDER</t>
  </si>
  <si>
    <t>PORK SHOULDER I/W 90CL FRZ (APP 18KG CTN)</t>
  </si>
  <si>
    <t>HOMESTEADPORK</t>
  </si>
  <si>
    <t>POTATO PRODUCTS</t>
  </si>
  <si>
    <t>CHIPS SPECIALTY</t>
  </si>
  <si>
    <t>CHIPS 10MM CRISPY COATED FRIES</t>
  </si>
  <si>
    <t>4 X 2.5KG</t>
  </si>
  <si>
    <t>Almonds (as an ingredient),Artificial Colours,Artificial Flavours,Barley (as an ingredient),Brazil nuts (as an ingredient),Cashews (as an ingredient),Cereals containing Gluten (and products thereof),Crustaceans (and products thereof),Egg and Egg Products,Fish and Fish Products,Hazelnuts (as an ingredient),Lupine,Macadamia or Queensland nuts (as an ingredient),Milk and Milk Products,Molluscs (and products thereof),MSG,Oats (as an ingredient),Peanuts and Peanut Products,Pecan nuts (as an ingredient),Pine Nuts (as an ingredient),Pistachio nuts (as an ingredient),Rye (as an ingredient),Sesame Seeds and Sesame Seed Products,Soybean and Soybean Products,Tree Nuts and Tree Nut Products,Walnuts (as an ingredient),Wheat (as an ingredient)</t>
  </si>
  <si>
    <t>FRIES &amp; CHIPS</t>
  </si>
  <si>
    <t>CHIPS 13MM FRIES</t>
  </si>
  <si>
    <t>FARM FRITES</t>
  </si>
  <si>
    <t>POTATO INSTANT MASH</t>
  </si>
  <si>
    <t>POTATO FLAKES INSTANT MASH</t>
  </si>
  <si>
    <t>Almonds (as an ingredient),Barley (as an ingredient),Brazil nuts (as an ingredient),Cashews (as an ingredient),Cereals containing Gluten (and products thereof),Fish and Fish Products,Hazelnuts (as an ingredient),Lupine,Macadamia or Queensland nuts (as an ingredient),Molluscs (and products thereof),MSG,Oats (as an ingredient),Pecan nuts (as an ingredient),Pine Nuts (as an ingredient),Pistachio nuts (as an ingredient),Rye (as an ingredient),Walnuts (as an ingredient),Wheat (as an ingredient)</t>
  </si>
  <si>
    <t>POULTRY WHOLE &amp; CUTS</t>
  </si>
  <si>
    <t>CHICKEN BREAST</t>
  </si>
  <si>
    <t>CHICKEN BREAST FLTS RAW FROZEN</t>
  </si>
  <si>
    <t>FARMYARD CHICKEN</t>
  </si>
  <si>
    <t>Prawns</t>
  </si>
  <si>
    <t>PRAWN CUTLETS COOKED &amp; RAW</t>
  </si>
  <si>
    <t>PRAWN CUTLET RAW 10/15 VANNAMEI (SEAFROST) (I)</t>
  </si>
  <si>
    <t>Crustaceans (and products thereof)</t>
  </si>
  <si>
    <t>Almonds (as an ingredient),Artificial Colours,Artificial Flavours,Aspartame,Barley (as an ingredient),Bee Pollen,Brazil nuts (as an ingredient),Caffeine,Cashews (as an ingredient),Cereals containing Gluten (and products thereof),Egg and Egg Products,Evaporated Milk, Dried Milk made from Soy or Cereals,Fish and Fish Products,Hazelnuts (as an ingredient),Lupine,Macadamia or Queensland nuts (as an ingredient),Milk and Milk Products,Molluscs (and products thereof),MSG,Oats (as an ingredient),Peanuts and Peanut Products,Pecan nuts (as an ingredient),Pine Nuts (as an ingredient),Pistachio nuts (as an ingredient),Rye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</si>
  <si>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PRAWN CUTLET RAW 26/30 VANNAMEI (SEAFROST) (I)</t>
  </si>
  <si>
    <t>Artificial Colours,Artificial Flavours,Aspartame,Bee Pollen,Caffeine,Cereals containing Gluten (and products thereof),Egg and Egg Products,Evaporated Milk, Dried Milk made from Soy or Cereals,Fish and Fish Products,Guarana or extracts of Guarana,Lupine,Milk and Milk Products,MSG,Peanuts and Peanut Products,Sesame Seeds and Sesame Seed Products,Soybean and Soybean Products,Sulphur Dioxide and Sulphites in concentrations &gt; 10mg/kg (10mg/L),Tree Nuts and Tree Nut Products,Unpasteurised Egg Products,Unpasteurised Milk and Milk Products</t>
  </si>
  <si>
    <t>PRAWNS WHOLE</t>
  </si>
  <si>
    <t>PRAWNS WH CKD 10/15 AUSTRALIAN TIGER (A)</t>
  </si>
  <si>
    <t>TASSAL</t>
  </si>
  <si>
    <t>Artificial Colours,Artificial Flavours,Aspartame,Bee Pollen,Caffeine,Cereals containing Gluten (and products thereof),Egg and Egg Products,Evaporated Milk, Dried Milk made from Soy or Cereals,Fish and Fish Products,Lupine,Milk and Milk Products,MSG,Peanuts and Peanut Products,Phytosterol, Phytostanols and Esters,Propolis,Quinine,Royal Jelly,Sesame Seeds and Sesame Seed Products,Soybean and Soybean Products,Sulphur Dioxide and Sulphites in concentrations &gt; 10mg/kg (10mg/L),Tree Nuts and Tree Nut Products,Unpasteurised Egg Products,Unpasteurised Milk and Milk Products</t>
  </si>
  <si>
    <t>READY MEALS</t>
  </si>
  <si>
    <t>READY LASAGNE</t>
  </si>
  <si>
    <t>PASTA LASAGNE ROUND BEEF TRADITIONAL PRE CUT 12'S</t>
  </si>
  <si>
    <t>Artificial Colours,Artificial Flavours,Cereals containing Gluten (and products thereof),Egg and Egg Products,Milk and Milk Products,Wheat (as an ingredient)</t>
  </si>
  <si>
    <t>Almonds (as an ingredient),Aspartame,Barley (as an ingredient),Bee Pollen,Brazil nuts (as an ingredient),Caffeine,Cashews (as an ingredient),Celery / Celeriac (and products thereof),Crustaceans (and products thereof),Evaporated Milk, Dried Milk made from Soy or Cereals,Fish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t>
  </si>
  <si>
    <t>RICES &amp; LEGUMES</t>
  </si>
  <si>
    <t>COUS COUS</t>
  </si>
  <si>
    <t>COUS COUS PEARL LARGE</t>
  </si>
  <si>
    <t>Almonds (as an ingredient),Artificial Colours,Artificial Flavours,Aspartame,Barley (as an ingredient),Bee Pollen,Brazil nuts (as an ingredient),Caffeine,Cashews (as an ingredient),Celery / Celeriac (and products thereof),Crustaceans (and products thereof),Egg and Egg Products,Evaporated Milk, Dried Milk made from Soy or Cereals,Fish and Fish Products,Guarana or extracts of Guarana,Hazelnuts (as an ingredient),Lupine,Macadamia or Queensland nuts (as an ingredient),Molluscs (and products thereof),MSG,Mustard (and products thereof),Oats (as an ingredient),Pecan nuts (as an ingredient),Phytosterol, Phytostanols and Esters,Pine Nuts (as an ingredient),Pistachio nuts (as an ingredient),Propolis,Quinine,Royal Jelly,Rye (as an ingredient),Sulphur Dioxide and Sulphites in concentrations &gt; 10mg/kg (10mg/L),Unpasteurised Egg Products,Unpasteurised Milk and Milk Products,Walnuts (as an ingredient)</t>
  </si>
  <si>
    <t>RICE</t>
  </si>
  <si>
    <t>RICE ARBORIO</t>
  </si>
  <si>
    <t>RIVIANA</t>
  </si>
  <si>
    <t xml:space="preserve">SAUCES  CONDIMENTS &amp; DRESSINGS</t>
  </si>
  <si>
    <t>CHUTNEYS &amp; RELISHES &amp; PICKLES</t>
  </si>
  <si>
    <t>CHUTNEY TOMATO</t>
  </si>
  <si>
    <t>BEERENBERG</t>
  </si>
  <si>
    <t>WINE COOKING</t>
  </si>
  <si>
    <t>COOKING WINE RED 10% ALCOHOL</t>
  </si>
  <si>
    <t>15 LT</t>
  </si>
  <si>
    <t>CASK</t>
  </si>
  <si>
    <t>Almonds (as an ingredient),Artificial Colours,Artificial Flavours,Aspartame,Barley (as an ingredient),Bee Pollen,Brazil nuts (as an ingredient),Caffeine,Cashews (as an ingredient),Cereals containing Gluten (and products thereof),Crustaceans (and products thereof),Evaporated Milk, Dried Milk made from Soy or Cereals,Fish and Fish Products,Hazelnuts (as an ingredient),Lupine,Macadamia or Queensland nuts (as an ingredient),Milk and Milk Products,Molluscs (and products thereof),MSG,Oats (as an ingredient),Peanuts and Peanut Products,Pecan nuts (as an ingredient),Pine Nuts (as an ingredient),Pistachio nuts (as an ingredient),Rye (as an ingredient),Sesame Seeds and Sesame Seed Products,Soybean and Soybean Products,Tree Nuts and Tree Nut Products,Walnuts (as an ingredient),Wheat (as an ingredient)</t>
  </si>
  <si>
    <t>COOKING WINE WHITE 10% ALCOHOL</t>
  </si>
  <si>
    <t>MAYONNAISE</t>
  </si>
  <si>
    <t>KEWPIE</t>
  </si>
  <si>
    <t>Egg and Egg Products,MSG,Mustard (and products thereof),Soybean and Soybean Products</t>
  </si>
  <si>
    <t>Almonds (as an ingredient),Artificial Colours,Artificial Flavours,Barley (as an ingredient),Brazil nuts (as an ingredient),Cashews (as an ingredient),Cereals containing Gluten (and products thereof),Crustaceans (and products thereof),Fish and Fish Products,Hazelnuts (as an ingredient),Lupine,Macadamia or Queensland nuts (as an ingredient),Milk and Milk Products,Molluscs (and products thereof),Oats (as an ingredient),Peanuts and Peanut Products,Pecan nuts (as an ingredient),Pine Nuts (as an ingredient),Pistachio nuts (as an ingredient),Rye (as an ingredient),Sesame Seeds and Sesame Seed Products,Sulphur Dioxide and Sulphites in concentrations &gt; 10mg/kg (10mg/L),Tree Nuts and Tree Nut Products,Walnuts (as an ingredient),Wheat (as an ingredient)</t>
  </si>
  <si>
    <t>AIOLI</t>
  </si>
  <si>
    <t>MAYONNAISE AIOLI ROASTED GARLIC GLUTEN FREE</t>
  </si>
  <si>
    <t>2.2 KG</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</si>
  <si>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Products,Sulphur Dioxide and Sulphites in concentrations &gt; 10mg/kg (10mg/L),Tree Nuts and Tree Nut Products,Unpasteurised Egg Products,Unpasteurised Milk and Milk Products,Walnuts (as an ingredient),Wheat (as an ingredient)</t>
  </si>
  <si>
    <t>BRIGHT SIDE</t>
  </si>
  <si>
    <t>Almonds (as an ingredient),Artificial Colours,Artificial Flavours,Barley (as an ingredient),Brazil nuts (as an ingredient),Cereals containing Gluten (and products thereof),Crustaceans (and products thereof),Hazelnuts (as an ingredient),Macadamia or Queensland nuts (as an ingredient),Molluscs (and products thereof),MSG,Oats (as an ingredient),Pecan nuts (as an ingredient),Pine Nuts (as an ingredient),Pistachio nuts (as an ingredient),Rye (as an ingredient),Walnuts (as an ingredient),Wheat (as an ingredient)</t>
  </si>
  <si>
    <t>Cashews (as an ingredient),Fish and Fish Products,Lupine,Milk and Milk Products,Peanuts and Peanut Products,Sesame Seeds and Sesame Seed Products,Soybean and Soybean Products,Sulphur Dioxide and Sulphites in concentrations &gt; 10mg/kg (10mg/L),Tree Nuts and Tree Nut Products</t>
  </si>
  <si>
    <t>Guarana or extracts of Guarana</t>
  </si>
  <si>
    <t>MAYONNAISE AIOLI ROASTED GARLIC SQUEEZE BOTTLE G/F</t>
  </si>
  <si>
    <t>Almonds (as an ingredient),Artificial Colours,Artificial Flavours,Aspartame,Barley (as an ingredient),Bee Pollen,Brazil nuts (as an ingredient),Caffeine,Cereals containing Gluten (and products thereof),Crustaceans (and products thereof),Evaporated Milk, Dried Milk made from Soy or Cereals,Hazelnuts (as an ingredient),Macadamia or Queensland nuts (as an ingredient),Molluscs (and products thereof),MSG,Oats (as an ingredient),Peanuts and Peanut Products,Pecan nuts (as an ingredient),Pine Nuts (as an ingredient),Pistachio nuts (as an ingredient),Rye (as an ingredient),Walnuts (as an ingredient),Wheat (as an ingredient)</t>
  </si>
  <si>
    <t>Cashews (as an ingredient),Fish and Fish Products,Lupine,Milk and Milk Products,Sesame Seeds and Sesame Seed Products,Soybean and Soybean Products,Sulphur Dioxide and Sulphites in concentrations &gt; 10mg/kg (10mg/L),Tree Nuts and Tree Nut Products</t>
  </si>
  <si>
    <t>MAYONNAISE AIOLI SQUEEZE BOTTLE GLUTEN FREE</t>
  </si>
  <si>
    <t>Egg and Egg Products,Sulphur Dioxide and Sulphites in concentrations &gt; 10mg/kg (10mg/L)</t>
  </si>
  <si>
    <t>Almonds (as an ingredient),Artificial Colours,Artificial Flavours,Barley (as an ingredient),Brazil nuts (as an ingredient),Cereals containing Gluten (and products thereof),Crustaceans (and products thereof),Hazelnuts (as an ingredient),Macadamia or Queensland nuts (as an ingredient),Molluscs (and products thereof),MSG,Oats (as an ingredient),Peanuts and Peanut Products,Pecan nuts (as an ingredient),Pine Nuts (as an ingredient),Pistachio nuts (as an ingredient),Rye (as an ingredient),Walnuts (as an ingredient),Wheat (as an ingredient)</t>
  </si>
  <si>
    <t>MAYONNAISE DELI</t>
  </si>
  <si>
    <t>2.6 KG</t>
  </si>
  <si>
    <t>HELLMANNS</t>
  </si>
  <si>
    <t>Cereals containing Gluten (and products thereof),Crustaceans (and products thereof),Lupine,Molluscs (and products thereof),Peanuts and Peanut Products,Sesame Seeds and Sesame Seed Products,Sulphur Dioxide and Sulphites in concentrations &gt; 10mg/kg (10mg/L),Tree Nuts and Tree Nut Products</t>
  </si>
  <si>
    <t>Fish and Fish Products,Milk and Milk Products</t>
  </si>
  <si>
    <t>Almonds (as an ingredient),Artificial Colours,Artificial Flavours,Aspartame,Barley (as an ingredient),Bee Pollen,Brazil nuts (as an ingredient),Caffeine,Cashews (as an ingredient),Celery / Celeriac (and products thereof),Evaporated Milk, Dried Milk made from Soy or Cereals,Guarana or extracts of Guarana,Hazelnuts (as an ingredient),Macadamia or Queensland nuts (as an ingredient),MSG,Mustard (and products thereof),Oats (as an ingredient),Pecan nuts (as an ingredient),Phytosterol, Phytostanols and Esters,Pine Nuts (as an ingredient),Pistachio nuts (as an ingredient),Propolis,Quinine,Royal Jelly,Rye (as an ingredient),Unpasteurised Egg Products,Unpasteurised Milk and Milk Products,Walnuts (as an ingredient),Wheat (as an ingredient)</t>
  </si>
  <si>
    <t>MAYONNAISE FIERY CHIPOTLE SQUEEZE BOTTLE G/FREE</t>
  </si>
  <si>
    <t>Egg and Egg Products,Mustard (and products thereof)</t>
  </si>
  <si>
    <t>MAYONNAISE PREMIUM GLUTEN FREE</t>
  </si>
  <si>
    <t>4.5 KG</t>
  </si>
  <si>
    <t>ZOOSH</t>
  </si>
  <si>
    <t>Artificial Colours,Artificial Flavours,Aspartame,Bee Pollen,Caffeine,Cereals containing Gluten (and products thereof),Crustaceans (and products thereof),Evaporated Milk, Dried Milk made from Soy or Cereals,Fish and Fish Products,Guarana or extracts of Guarana,MSG,Peanuts and Peanut Products,Phytosterol, Phytostanols and Esters,Propolis,Quinine,Royal Jelly,Sesame Seeds and Sesame Seed Products,Soybean and Soybean Products,Sulphur Dioxide and Sulphites in concentrations &gt; 10mg/kg (10mg/L),Tree Nuts and Tree Nut Products,Unpasteurised Egg Products,Unpasteurised Milk and Milk Products</t>
  </si>
  <si>
    <t>RELISH BALSAMIC BEETROOT</t>
  </si>
  <si>
    <t>RELISH CARAMELISED ONION GLUTEN FREE</t>
  </si>
  <si>
    <t>Almonds (as an ingredient),Artificial Colours,Artificial Flavours,Aspartame,Barley (as an ingredient),Bee Pollen,Brazil nuts (as an ingredient),Caffeine,Cereals containing Gluten (and products thereof),Crustaceans (and products thereof),Egg and Egg Products,Evaporated Milk, Dried Milk made from Soy or Cereals,Fish and Fish Products,Hazelnuts (as an ingredient),Lupine,Macadamia or Queensland nuts (as an ingredient),Milk and Milk Products,Molluscs (and products thereof),MSG,Oats (as an ingredient),Peanuts and Peanut Products,Pecan nuts (as an ingredient),Pine Nuts (as an ingredient),Pistachio nuts (as an ingredient),Rye (as an ingredient),Sesame Seeds and Sesame Seed Products,Soybean and Soybean Products,Tree Nuts and Tree Nut Products,Walnuts (as an ingredient),Wheat (as an ingredient)</t>
  </si>
  <si>
    <t>Cashews (as an ingredient)</t>
  </si>
  <si>
    <t>RELISH ONION CARAMELISED</t>
  </si>
  <si>
    <t>Barley (as an ingredient),Cereals containing Gluten (and products thereof)</t>
  </si>
  <si>
    <t>Almonds (as an ingredient),Artificial Colours,Artificial Flavours,Brazil nuts (as an ingredient),Cashews (as an ingredient),Egg and Egg Products,Fish and Fish Products,Hazelnuts (as an ingredient),Lupine,Macadamia or Queensland nuts (as an ingredient),Milk and Milk Products,Molluscs (and products thereof),MSG,Oats (as an ingredient),Peanuts and Peanut Products,Pecan nuts (as an ingredient),Pine Nuts (as an ingredient),Pistachio nuts (as an ingredient),Rye (as an ingredient),Sesame Seeds and Sesame Seed Products,Soybean and Soybean Products,Tree Nuts and Tree Nut Products,Walnuts (as an ingredient),Wheat (as an ingredient)</t>
  </si>
  <si>
    <t>SAUCE BBQ</t>
  </si>
  <si>
    <t>SAUCE BARBEQUE GLUTEN FREE</t>
  </si>
  <si>
    <t>Almonds (as an ingredient),Aspartame,Barley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</si>
  <si>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SAUCE SPECIALTY</t>
  </si>
  <si>
    <t>SAUCE BURGER SQUEEZE BOTTLE GLUTEN FREE</t>
  </si>
  <si>
    <t>SAUCE POWDERED</t>
  </si>
  <si>
    <t>SAUCE MIX BECHAMEL GLUTEN FREE</t>
  </si>
  <si>
    <t>MAGGI</t>
  </si>
  <si>
    <t>Artificial Colours,Artificial Flavours,Milk and Milk Products,MSG</t>
  </si>
  <si>
    <t>Cereals containing Gluten (and products thereof),Crustaceans (and products thereof),Egg and Egg Products,Fish and Fish Products,Lupine,Peanuts and Peanut Products,Sesame Seeds and Sesame Seed Products,Tree Nuts and Tree Nut Products</t>
  </si>
  <si>
    <t>Soybean and Soybean Products,Sulphur Dioxide and Sulphites in concentrations &gt; 10mg/kg (10mg/L)</t>
  </si>
  <si>
    <t>SAUCE PASTA</t>
  </si>
  <si>
    <t>SAUCE PASTA SUGO PER</t>
  </si>
  <si>
    <t>BUITONI</t>
  </si>
  <si>
    <t>Artificial Colours,Artificial Flavours,Cereals containing Gluten (and products thereof),Egg and Egg Products,Fish and Fish Products,Lupine,Milk and Milk Products,MSG,Peanuts and Peanut Products,Sesame Seeds and Sesame Seed Products,Soybean and Soybean Products,Tree Nuts and Tree Nut Products</t>
  </si>
  <si>
    <t>SAUCE CHILLI</t>
  </si>
  <si>
    <t>SAUCE PERI PERI GLUTEN FREE</t>
  </si>
  <si>
    <t>1.95 KG</t>
  </si>
  <si>
    <t>Artificial Colours,Artificial Flavours,Cereals containing Gluten (and products thereof),Crustaceans (and products thereof),Egg and Egg Products,Fish and Fish Products,Lupine,Molluscs (and products thereof),Sulphur Dioxide and Sulphites in concentrations &gt; 10mg/kg (10mg/L)</t>
  </si>
  <si>
    <t>Milk and Milk Products,MSG,Peanuts and Peanut Products,Sesame Seeds and Sesame Seed Products,Soybean and Soybean Products,Tree Nuts and Tree Nut Products</t>
  </si>
  <si>
    <t>Almonds (as an ingredient),Aspartame,Barley (as an ingredient),Bee Pollen,Brazil nuts (as an ingredient),Caffeine,Cashews (as an ingredient),Celery / Celeriac (and products thereof),Evaporated Milk, Dried Milk made from Soy or Cereals,Guarana or extracts of Guarana,Hazelnuts (as an ingredient),Macadamia or Queensland nuts (as an ingredient),Mustard (and products thereof),Oats (as an ingredient),Pecan nuts (as an ingredient),Phytosterol, Phytostanols and Esters,Pine Nuts (as an ingredient),Pistachio nuts (as an ingredient),Propolis,Quinine,Royal Jelly,Rye (as an ingredient),Unpasteurised Egg Products,Unpasteurised Milk and Milk Products,Walnuts (as an ingredient),Wheat (as an ingredient)</t>
  </si>
  <si>
    <t>SAUCE TOMATO COULIS SUGO AL POMODORO</t>
  </si>
  <si>
    <t>SAUCE TOMATO</t>
  </si>
  <si>
    <t>SAUCE TOMATO GLUTEN FREE</t>
  </si>
  <si>
    <t xml:space="preserve">SAUSAGES  HOT DOGS &amp; PATTIES</t>
  </si>
  <si>
    <t>BURGER PATTIES - BEEF</t>
  </si>
  <si>
    <t>BURGER PATTIES ANGUS SLIDER</t>
  </si>
  <si>
    <t>20 X 40GR</t>
  </si>
  <si>
    <t>ANGEL BAY</t>
  </si>
  <si>
    <t>Cereals containing Gluten (and products thereof),Egg and Egg Products,Milk and Milk Products,Soybean and Soybean Products,Wheat (as an ingredient)</t>
  </si>
  <si>
    <t>Almonds (as an ingredient),Artificial Colours,Artificial Flavours,Aspartame,Barley (as an ingredient),Bee Pollen,Brazil nuts (as an ingredient),Caffeine,Cashews (as an ingredient),Celery / Celeriac (and products thereof),Crustaceans (and products thereof),Evaporated Milk, Dried Milk made from Soy or Cereals,Fish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Products,Sulphur Dioxide and Sulphites in concentrations &gt; 10mg/kg (10mg/L),Tree Nuts and Tree Nut Products,Unpasteurised Egg Products,Unpasteurised Milk and Milk Products,Walnuts (as an ingredient)</t>
  </si>
  <si>
    <t>BURGER PATTIES BEEF ANGUS GOURMET</t>
  </si>
  <si>
    <t>18 X 150GR</t>
  </si>
  <si>
    <t>SMALLGOODS</t>
  </si>
  <si>
    <t>BACON RASHERS</t>
  </si>
  <si>
    <t>BACON MIDDLE RINDLESS GAS FLUSHED (QLD)</t>
  </si>
  <si>
    <t>SALAMI</t>
  </si>
  <si>
    <t>CHORIZO SPANISH</t>
  </si>
  <si>
    <t>HANS</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</si>
  <si>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Products,Sulphur Dioxide and Sulphites in concentrations &gt; 10mg/kg (10mg/L),Tree Nuts and Tree Nut Products,Unpasteurised Egg Products,Unpasteurised Milk and Milk Products,Walnuts (as an ingredient),Wheat (as an ingredient)</t>
  </si>
  <si>
    <t>CHORIZO SPANISH ORIGIN (APP 2.5KG)</t>
  </si>
  <si>
    <t>PRIMO</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</si>
  <si>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Products,Fish and Fish Products,Guarana or extracts of Guarana,Hazelnuts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Products,Tree Nuts and Tree Nut Products,Unpasteurised Egg Products,Unpasteurised Milk and Milk Products,Walnuts (as an ingredient),Wheat (as an ingredient)</t>
  </si>
  <si>
    <t>Evaporated Milk, Dried Milk made from Soy or Cereals,Milk and Milk Products,Soybean and Soybean Products,Sulphur Dioxide and Sulphites in concentrations &gt; 10mg/kg (10mg/L)</t>
  </si>
  <si>
    <t xml:space="preserve">HAM SLICED  DICED AND SHREDDED</t>
  </si>
  <si>
    <t>HAM LEG SLICED</t>
  </si>
  <si>
    <t>SMALLGOODS - GOURMET SPECIALITY</t>
  </si>
  <si>
    <t>HAM SERRANO JAMON SLICED SPANISH (PROSCIUTTO)</t>
  </si>
  <si>
    <t>250 GR</t>
  </si>
  <si>
    <t>REDONDO</t>
  </si>
  <si>
    <t>MORTADELLA</t>
  </si>
  <si>
    <t>BORGO SALUMI</t>
  </si>
  <si>
    <t>PROSCIUTTO SLICED</t>
  </si>
  <si>
    <t>DON</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</si>
  <si>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thereof),Mustard (and products thereof),Oats (as an ingredient),Peanuts and Peanut Products,Pecan nuts (as an ingredient),Pine Nuts (as an ingredient),Pistachio nuts (as an ingredient),Propolis,Quinine,Royal Jelly,Rye (as an ingredient),Sesame Seeds and Sesame Seed Products,Soybean and Soybean Products,Tree Nuts and Tree Nut Products,Unpasteurised Egg Products,Unpasteurised Milk and Milk Products,Walnuts (as an ingredient),Wheat (as an ingredient)</t>
  </si>
  <si>
    <t>MSG,Phytosterol, Phytostanols and Esters,Sulphur Dioxide and Sulphites in concentrations &gt; 10mg/kg (10mg/L)</t>
  </si>
  <si>
    <t>PROSCIUTTO SLICED IMPORTED</t>
  </si>
  <si>
    <t>Almonds (as an ingredient),Artificial Colours,Artificial Flavours,Aspartame,Barley (as an ingredient),Bee Pollen,Brazil nuts (as an ingredient),Caffeine,Cashews (as an ingredient),Celery / Celeriac (and products thereof),Cereals containing Gluten (and products thereof),Crustaceans (and products thereof),Egg and Egg Products,Fish and Fish Products,Hazelnuts (as an ingredient),Lupine,Macadamia or Queensland nuts (as an ingredient),Molluscs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Products,Sulphur Dioxide and Sulphites in concentrations &gt; 10mg/kg (10mg/L),Tree Nuts and Tree Nut Products,Unpasteurised Egg Products,Unpasteurised Milk and Milk Products,Walnuts (as an ingredient),Wheat (as an ingredient)</t>
  </si>
  <si>
    <t>Evaporated Milk, Dried Milk made from Soy or Cereals,Milk and Milk Products,Soybean and Soybean Products</t>
  </si>
  <si>
    <t>SALAMI CASALINGO (APP 1.2KG)</t>
  </si>
  <si>
    <t>SALAMI DANISH THINLY SLICED</t>
  </si>
  <si>
    <t>SALAMI PEPPERONI SLICED</t>
  </si>
  <si>
    <t>CASTELLINI</t>
  </si>
  <si>
    <t>Artificial Flavours,Soybean and Soybean Products</t>
  </si>
  <si>
    <t>Almonds (as an ingredient),Artificial Colours,Aspartame,Barley (as an ingredient),Bee Pollen,Brazil nuts (as an ingredient),Caffeine,Cashews (as an ingredient),Celery / Celeriac (and products thereof),Cereals containing Gluten (and products thereof),Crustaceans (and products thereof),Egg and Egg Products,Evaporated Milk, Dried Milk made from Soy or Cereals,Fish and Fish Products,Guarana or extracts of Guarana,Hazelnuts (as an ingredient),Lupine,Macadamia or Queensland nuts (as an ingredient),Milk and Milk Products,Molluscs (and products thereof),MSG,Mustard (and products thereof),Oats (as an ingredient),Peanuts and Peanut Products,Pecan nuts (as an ingredient),Phytosterol, Phytostanols and Esters,Pine Nuts (as an ingredient),Pistachio nuts (as an ingredient),Propolis,Quinine,Royal Jelly,Rye (as an ingredient),Sesame Seeds and Sesame Seed Products,Sulphur Dioxide and Sulphites in concentrations &gt; 10mg/kg (10mg/L),Tree Nuts and Tree Nut Products,Unpasteurised Egg Products,Unpasteurised Milk and Milk Products,Walnuts (as an ingredient),Wheat (as an ingredient)</t>
  </si>
  <si>
    <t>SOUPS &amp; STOCKS</t>
  </si>
  <si>
    <t>GRAVY MIXES</t>
  </si>
  <si>
    <t>GRAVY MIX RICH</t>
  </si>
  <si>
    <t>Artificial Flavours,Cereals containing Gluten (and products thereof),MSG</t>
  </si>
  <si>
    <t>Artificial Colours,Egg and Egg Products,Lupine,Peanuts and Peanut Products,Sesame Seeds and Sesame Seed Products,Tree Nuts and Tree Nut Products</t>
  </si>
  <si>
    <t>Crustaceans (and products thereof),Fish and Fish Products,Milk and Milk Products,Soybean and Soybean Products,Sulphur Dioxide and Sulphites in concentrations &gt; 10mg/kg (10mg/L)</t>
  </si>
  <si>
    <t>JUS LIE BEEF SAUCE MIX GLUTEN FREE</t>
  </si>
  <si>
    <t>Artificial Colours,Artificial Flavours,Soybean and Soybean Products</t>
  </si>
  <si>
    <t>Cereals containing Gluten (and products thereof),Egg and Egg Products,Lupine,MSG,Peanuts and Peanut Products,Sesame Seeds and Sesame Seed Products,Tree Nuts and Tree Nut Products</t>
  </si>
  <si>
    <t>Fish and Fish Products,Milk and Milk Products,Sulphur Dioxide and Sulphites in concentrations &gt; 10mg/kg (10mg/L)</t>
  </si>
  <si>
    <t xml:space="preserve">STOCKS  BOULLIONS &amp; BOOSTERS</t>
  </si>
  <si>
    <t>STOCK LIQUID CHICKEN CONCENTRATE</t>
  </si>
  <si>
    <t>Peanuts and Peanut Products,Sulphur Dioxide and Sulphites in concentrations &gt; 10mg/kg (10mg/L),Tree Nuts and Tree Nut Products</t>
  </si>
  <si>
    <t>Cereals containing Gluten (and products thereof),Crustaceans (and products thereof),Fish and Fish Products,Lupine,Molluscs (and products thereof),Sesame Seeds and Sesame Seed Products</t>
  </si>
  <si>
    <t>SPIRITS</t>
  </si>
  <si>
    <t>SPIRITS - LIQUEUR</t>
  </si>
  <si>
    <t>BOTTEGA LIMONCINO LIQUEUR CL50 21%</t>
  </si>
  <si>
    <t>500 ML</t>
  </si>
  <si>
    <t>BOTTEGA</t>
  </si>
  <si>
    <t>SPREADS</t>
  </si>
  <si>
    <t>HONEY</t>
  </si>
  <si>
    <t>HONEY POUR BOTTLE</t>
  </si>
  <si>
    <t>SUPERBEE</t>
  </si>
  <si>
    <t>SPREADS SWEET</t>
  </si>
  <si>
    <t>SPREAD CHOCOLATE HAZELNUT</t>
  </si>
  <si>
    <t>NUTELLA</t>
  </si>
  <si>
    <t>Hazelnuts (as an ingredient),Milk and Milk Products,Soybean and Soybean Products</t>
  </si>
  <si>
    <t>Almonds (as an ingredient),Artificial Colours,Artificial Flavours,Barley (as an ingredient),Brazil nuts (as an ingredient),Cashews (as an ingredient),Cereals containing Gluten (and products thereof),Egg and Egg Products,Fish and Fish Products,Lupine,Macadamia or Queensland nuts (as an ingredient),Molluscs (and products thereof),MSG,Oats (as an ingredient),Peanuts and Peanut Products,Pecan nuts (as an ingredient),Pistachio nuts (as an ingredient),Rye (as an ingredient),Sesame Seeds and Sesame Seed Products,Unpasteurised Egg Products,Walnuts (as an ingredient),Wheat (as an ingredient)</t>
  </si>
  <si>
    <t>Tree Nuts and Tree Nut Products</t>
  </si>
  <si>
    <t>Squid and Octopus</t>
  </si>
  <si>
    <t>SQUID &amp; OCTOPUS</t>
  </si>
  <si>
    <t>OCTOPUS BABY 26/40 IQF (I)</t>
  </si>
  <si>
    <t>SEAFROST</t>
  </si>
  <si>
    <t>Almonds (as an ingredient),Artificial Colours,Artificial Flavours,Aspartame,Barley (as an ingredient),Bee Pollen,Brazil nuts (as an ingredient),Caffeine,Cashews (as an ingredient),Cereals containing Gluten (and products thereof),Egg and Egg Products,Evaporated Milk, Dried Milk made from Soy or Cereals,Fish and Fish Products,Hazelnuts (as an ingredient),Lupine,Macadamia or Queensland nuts (as an ingredient),Milk and Milk Products,MSG,Oats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Products,Unpasteurised Egg Products,Unpasteurised Milk and Milk Products,Walnuts (as an ingredient),Wheat (as an ingredient)</t>
  </si>
  <si>
    <t>SQUID STRIPS TENDERISED PINEAPPLE CUT (I)</t>
  </si>
  <si>
    <t>Almonds (as an ingredient),Artificial Colours,Artificial Flavours,Barley (as an ingredient),Brazil nuts (as an ingredient),Cashews (as an ingredient),Cereals containing Gluten (and products thereof),Crustaceans (and products thereof),Egg and Egg Products,Fish and Fish Products,Hazelnuts (as an ingredient),Lupine,Macadamia or Queensland nuts (as an ingredient),Milk and Milk Products,MSG,Oats (as an ingredient),Peanuts and Peanut Products,Pecan nuts (as an ingredient),Pine Nuts (as an ingredient),Pistachio nuts (as an ingredient),Rye (as an ingredient),Sesame Seeds and Sesame Seed Products,Soybean and Soybean Products,Sulphur Dioxide and Sulphites in concentrations &gt; 10mg/kg (10mg/L),Tree Nuts and Tree Nut Products,Walnuts (as an ingredient),Wheat (as an ingredient)</t>
  </si>
  <si>
    <t>Aspartame,Bee Pollen,Caffeine,Evaporated Milk, Dried Milk made from Soy or Cereals,Phytosterol, Phytostanols and Esters,Propolis,Quinine,Royal Jelly,Unpasteurised Egg Products,Unpasteurised Milk and Milk Products</t>
  </si>
  <si>
    <t>Value Added</t>
  </si>
  <si>
    <t>SEAFOOD VALUE ADDED</t>
  </si>
  <si>
    <t>SQUID SEA SALT &amp; CRACKED PEPPER TWIST (I)</t>
  </si>
  <si>
    <t>Cereals containing Gluten (and products thereof),Crustaceans (and products thereof),Egg and Egg Products,Soybean and Soybean Products</t>
  </si>
  <si>
    <t>Artificial Colours,Artificial Flavours,Evaporated Milk, Dried Milk made from Soy or Cereals,Fish and Fish Products,Lupine,Milk and Milk Products,MSG,Peanuts and Peanut Products,Sesame Seeds and Sesame Seed Products,Sulphur Dioxide and Sulphites in concentrations &gt; 10mg/kg (10mg/L),Tree Nuts and Tree Nut Products,Unpasteurised Milk and Milk Products</t>
  </si>
  <si>
    <t>Aspartame,Bee Pollen,Caffeine,Guarana or extracts of Guarana,Phytosterol, Phytostanols and Esters,Propolis,Quinine,Royal Jelly,Unpasteurised Egg Products</t>
  </si>
  <si>
    <t>VEGETABLES</t>
  </si>
  <si>
    <t>VEGETABLE PREPARED</t>
  </si>
  <si>
    <t>CAPERS BABY</t>
  </si>
  <si>
    <t>PICKLED/MARINATED/GRILLED/DRIED</t>
  </si>
  <si>
    <t>CAPSICUM CHAR GRILLED GLUTEN FREE (FRESH)</t>
  </si>
  <si>
    <t>Artificial Colours,Artificial Flavours,Cereals containing Gluten (and products thereof),Egg and Egg Products,Fish and Fish Products,Lupine,Milk and Milk Products,MSG,Peanuts and Peanut Products,Sesame Seeds and Sesame Seed Products,Soybean and Soybean Products,Sulphur Dioxide and Sulphites in concentrations &gt; 10mg/kg (10mg/L),Tree Nuts and Tree Nut Products</t>
  </si>
  <si>
    <t>VEGETABLES FROZEN</t>
  </si>
  <si>
    <t>CAPSICUM ROASTED RED 20MM IQF</t>
  </si>
  <si>
    <t>6 KG</t>
  </si>
  <si>
    <t>CHARWORKS</t>
  </si>
  <si>
    <t>EGGPLANT CHAR GRILLED</t>
  </si>
  <si>
    <t>1.9 KG</t>
  </si>
  <si>
    <t>Artificial Colours,Artificial Flavours,Cereals containing Gluten (and products thereof),Crustaceans (and products thereof),Egg and Egg Products,Fish and Fish Products,Guarana or extracts of Guarana,Lupine,Milk and Milk Products,MSG,Peanuts and Peanut Products,Sesame Seeds and Sesame Seed Products,Soybean and Soybean Products,Tree Nuts and Tree Nut Products</t>
  </si>
  <si>
    <t>OLIVES</t>
  </si>
  <si>
    <t>OLIVES GREEN QUEEN PITTED</t>
  </si>
  <si>
    <t>Artificial Colours,Artificial Flavours,Aspartame,Bee Pollen,Cereals containing Gluten (and products thereof),Egg and Egg Products,Evaporated Milk, Dried Milk made from Soy or Cereals,Fish and Fish Products,Lupine,Milk and Milk Products,Peanuts and Peanut Products,Soybean and Soybean Products,Tree Nuts and Tree Nut Products,Unpasteurised Egg Products,Unpasteurised Milk and Milk Products</t>
  </si>
  <si>
    <t>Caffeine,Crustaceans (and products thereof),Guarana or extracts of Guarana,MSG,Phytosterol, Phytostanols and Esters,Propolis,Quinine,Royal Jelly,Sesame Seeds and Sesame Seed Products,Sulphur Dioxide and Sulphites in concentrations &gt; 10mg/kg (10mg/L)</t>
  </si>
  <si>
    <t>OLIVES GREEN QUEEN PITTED WHOLE (5KG D/W)</t>
  </si>
  <si>
    <t>Artificial Colours,Artificial Flavours,Aspartame,Bee Pollen,Caffeine,Cereals containing Gluten (and products thereof),Crustaceans (and products thereof),Egg and Egg Products,Evaporated Milk, Dried Milk made from Soy or Cereals,Fish and Fish Products,Lupine,Milk and Milk Products,MSG,Peanuts and Peanut Products,Phytosterol, Phytostanols and Esters,Propolis,Quinine,Royal Jelly,Sesame Seeds and Sesame Seed Products,Soybean and Soybean Products,Sulphur Dioxide and Sulphites in concentrations &gt; 10mg/kg (10mg/L),Tree Nuts and Tree Nut Products,Unpasteurised Egg Products,Unpasteurised Milk and Milk Products</t>
  </si>
  <si>
    <t>ONIONS CHOPPED</t>
  </si>
  <si>
    <t>EDGELL</t>
  </si>
  <si>
    <t>PEAS GREEN</t>
  </si>
  <si>
    <t>DEWFRESH</t>
  </si>
  <si>
    <t>Almonds (as an ingredient),Artificial Colours,Artificial Flavours,Aspartame,Barley (as an ingredient),Bee Pollen,Brazil nuts (as an ingredient),Caffeine,Cashews (as an ingredient),Cereals containing Gluten (and products thereof),Crustaceans (and products thereof),Egg and Egg Products,Evaporated Milk, Dried Milk made from Soy or Cereals,Fish and Fish Products,Hazelnuts (as an ingredient),Lupine,Macadamia or Queensland nuts (as an ingredient),Milk and Milk Products,Molluscs (and products thereof),MSG,Oats (as an ingredient),Peanuts and Peanut Products,Pecan nuts (as an ingredient),Phytosterol, Phytostanols and Esters,Pine Nuts (as an ingredient),Pistachio nuts (as an ingredient),Propolis,Quinine,Royal Jelly,Rye (as an ingredient),Sesame Seeds and Sesame Seed Products,Soybean and Soybean Products,Sulphur Dioxide and Sulphites in concentrations &gt; 10mg/kg (10mg/L),Tree Nuts and Tree Nut Products,Walnuts (as an ingredient),Wheat (as an ingredient)</t>
  </si>
  <si>
    <t>Unpasteurised Egg Products,Unpasteurised Milk and Milk Products</t>
  </si>
  <si>
    <t>PEPPERS RED ROASTED STRIPS</t>
  </si>
  <si>
    <t>A12</t>
  </si>
  <si>
    <t>PEPPERS RED ROASTED WHOLE</t>
  </si>
  <si>
    <t>4.2 KG</t>
  </si>
  <si>
    <t>PUMPKIN CHAR GRILLED (FRESH)</t>
  </si>
  <si>
    <t>Artificial Colours,Artificial Flavours,Barley (as an ingredient),Cereals containing Gluten (and products thereof),Egg and Egg Products,Fish and Fish Products,Lupine,Milk and Milk Products,Molluscs (and products thereof),MSG,Oats (as an ingredient),Peanuts and Peanut Products,Rye (as an ingredient),Sesame Seeds and Sesame Seed Products,Soybean and Soybean Products,Sulphur Dioxide and Sulphites in concentrations &gt; 10mg/kg (10mg/L),Wheat (as an ingredient)</t>
  </si>
  <si>
    <t>Almonds (as an ingredient),Brazil nuts (as an ingredient),Cashews (as an ingredient),Hazelnuts (as an ingredient),Macadamia or Queensland nuts (as an ingredient),Pecan nuts (as an ingredient),Pistachio nuts (as an ingredient),Tree Nuts and Tree Nut Products,Walnuts (as an ingredient)</t>
  </si>
  <si>
    <t>TOMATO PRODUCTS SHELF STABLE</t>
  </si>
  <si>
    <t>TOMATO PASTE</t>
  </si>
  <si>
    <t>3.1 KG</t>
  </si>
  <si>
    <t>TOMATOES SUNDRIED</t>
  </si>
  <si>
    <t>TOMATOES SUNDRIED STRIPS</t>
  </si>
  <si>
    <t>Artificial Colours,Artificial Flavours,Cereals containing Gluten (and products thereof),Crustaceans (and products thereof),Egg and Egg Products,Fish and Fish Products,Lupine,Milk and Milk Products,MSG,Peanuts and Peanut Products,Sesame Seeds and Sesame Seed Products,Soybean and Soybean Products,Tree Nuts and Tree Nut Products</t>
  </si>
  <si>
    <t>VINEGAR</t>
  </si>
  <si>
    <t>VINEGAR OTHER</t>
  </si>
  <si>
    <t>VINEGAR RICE WINE</t>
  </si>
  <si>
    <t>250 ML</t>
  </si>
  <si>
    <t>OBENTO</t>
  </si>
</sst>
</file>

<file path=xl/styles.xml><?xml version="1.0" encoding="utf-8"?>
<styleSheet xmlns="http://schemas.openxmlformats.org/spreadsheetml/2006/main">
  <numFmts count="1">
    <numFmt numFmtId="164" formatCode="#,##0; -#,##0.000"/>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xf numFmtId="164" applyNumberFormat="1"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N222"/>
  <sheetViews>
    <sheetView workbookViewId="0"/>
  </sheetViews>
  <sheetFormatPr defaultRowHeight="15"/>
  <cols>
    <col min="1" max="1" width="32.94952392578125" customWidth="1"/>
    <col min="2" max="2" width="34.21915054321289" customWidth="1"/>
    <col min="3" max="3" width="55.93165969848633" customWidth="1"/>
    <col min="4" max="4" width="13.105125427246094" customWidth="1"/>
    <col min="5" max="5" width="26.54820442199707" customWidth="1"/>
    <col min="6" max="6" width="12.777745246887207" customWidth="1"/>
    <col min="7" max="7" width="13.868331909179688" customWidth="1"/>
    <col min="8" max="8" width="10.327502250671387" customWidth="1"/>
    <col min="9" max="9" width="11.744447708129883" customWidth="1"/>
    <col min="10" max="10" width="16.73086929321289" customWidth="1"/>
    <col min="11" max="11" width="643.6744384765625" customWidth="1"/>
    <col min="12" max="12" width="1427.4791259765625" customWidth="1"/>
    <col min="13" max="13" width="513.8382568359375" customWidth="1"/>
    <col min="14" max="14" width="649.651245117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0" t="s">
        <v>14</v>
      </c>
      <c r="B2" s="0" t="s">
        <v>15</v>
      </c>
      <c r="C2" s="0" t="s">
        <v>16</v>
      </c>
      <c r="D2" s="0" t="s">
        <v>17</v>
      </c>
      <c r="E2" s="0" t="s">
        <v>18</v>
      </c>
      <c r="F2" s="0">
        <f>TEXT("166741","#")</f>
      </c>
      <c r="G2" s="0">
        <v>138.47</v>
      </c>
      <c r="H2" s="0" t="s">
        <v>19</v>
      </c>
      <c r="I2" s="2"/>
      <c r="J2" s="2"/>
      <c r="K2" s="0" t="s">
        <v>20</v>
      </c>
      <c r="L2" s="0" t="s">
        <v>21</v>
      </c>
      <c r="M2" s="0" t="s">
        <v>22</v>
      </c>
    </row>
    <row r="3">
      <c r="A3" s="0" t="s">
        <v>23</v>
      </c>
      <c r="B3" s="0" t="s">
        <v>24</v>
      </c>
      <c r="C3" s="0" t="s">
        <v>25</v>
      </c>
      <c r="D3" s="0" t="s">
        <v>26</v>
      </c>
      <c r="E3" s="0" t="s">
        <v>27</v>
      </c>
      <c r="F3" s="0">
        <f>TEXT("63949","#")</f>
      </c>
      <c r="G3" s="0">
        <v>26.45</v>
      </c>
      <c r="H3" s="0" t="s">
        <v>28</v>
      </c>
      <c r="I3" s="2"/>
      <c r="J3" s="2"/>
      <c r="K3" s="0" t="s">
        <v>29</v>
      </c>
      <c r="L3" s="0" t="s">
        <v>30</v>
      </c>
      <c r="M3" s="0" t="s">
        <v>31</v>
      </c>
    </row>
    <row r="4">
      <c r="A4" s="0" t="s">
        <v>23</v>
      </c>
      <c r="B4" s="0" t="s">
        <v>32</v>
      </c>
      <c r="C4" s="0" t="s">
        <v>33</v>
      </c>
      <c r="D4" s="0" t="s">
        <v>34</v>
      </c>
      <c r="E4" s="0" t="s">
        <v>35</v>
      </c>
      <c r="F4" s="0">
        <f>TEXT("169939","#")</f>
      </c>
      <c r="G4" s="0">
        <v>65.89</v>
      </c>
      <c r="H4" s="0" t="s">
        <v>36</v>
      </c>
      <c r="I4" s="2"/>
      <c r="J4" s="2"/>
      <c r="L4" s="0" t="s">
        <v>37</v>
      </c>
    </row>
    <row r="5">
      <c r="A5" s="0" t="s">
        <v>23</v>
      </c>
      <c r="B5" s="0" t="s">
        <v>38</v>
      </c>
      <c r="C5" s="0" t="s">
        <v>39</v>
      </c>
      <c r="D5" s="0" t="s">
        <v>26</v>
      </c>
      <c r="E5" s="0" t="s">
        <v>27</v>
      </c>
      <c r="F5" s="0">
        <f>TEXT("64997","#")</f>
      </c>
      <c r="G5" s="0">
        <v>17.87</v>
      </c>
      <c r="H5" s="0" t="s">
        <v>28</v>
      </c>
      <c r="I5" s="2"/>
      <c r="J5" s="2"/>
      <c r="K5" s="0" t="s">
        <v>40</v>
      </c>
      <c r="L5" s="0" t="s">
        <v>41</v>
      </c>
      <c r="M5" s="0" t="s">
        <v>42</v>
      </c>
    </row>
    <row r="6">
      <c r="A6" s="0" t="s">
        <v>23</v>
      </c>
      <c r="B6" s="0" t="s">
        <v>43</v>
      </c>
      <c r="C6" s="0" t="s">
        <v>44</v>
      </c>
      <c r="D6" s="0" t="s">
        <v>45</v>
      </c>
      <c r="E6" s="0" t="s">
        <v>46</v>
      </c>
      <c r="F6" s="0">
        <f>TEXT("53435","#")</f>
      </c>
      <c r="G6" s="0">
        <v>18.25</v>
      </c>
      <c r="H6" s="0" t="s">
        <v>36</v>
      </c>
      <c r="I6" s="2"/>
      <c r="J6" s="2"/>
      <c r="L6" s="0" t="s">
        <v>47</v>
      </c>
    </row>
    <row r="7">
      <c r="A7" s="0" t="s">
        <v>23</v>
      </c>
      <c r="B7" s="0" t="s">
        <v>48</v>
      </c>
      <c r="C7" s="0" t="s">
        <v>49</v>
      </c>
      <c r="D7" s="0" t="s">
        <v>50</v>
      </c>
      <c r="E7" s="0" t="s">
        <v>51</v>
      </c>
      <c r="F7" s="0">
        <f>TEXT("116089","#")</f>
      </c>
      <c r="G7" s="0">
        <v>55.19</v>
      </c>
      <c r="H7" s="0" t="s">
        <v>52</v>
      </c>
      <c r="I7" s="2"/>
      <c r="J7" s="2"/>
      <c r="K7" s="0" t="s">
        <v>53</v>
      </c>
      <c r="L7" s="0" t="s">
        <v>54</v>
      </c>
      <c r="M7" s="0" t="s">
        <v>40</v>
      </c>
    </row>
    <row r="8">
      <c r="A8" s="0" t="s">
        <v>23</v>
      </c>
      <c r="B8" s="0" t="s">
        <v>48</v>
      </c>
      <c r="C8" s="0" t="s">
        <v>55</v>
      </c>
      <c r="D8" s="0" t="s">
        <v>45</v>
      </c>
      <c r="E8" s="0" t="s">
        <v>46</v>
      </c>
      <c r="F8" s="0">
        <f>TEXT("102759","#")</f>
      </c>
      <c r="G8" s="0">
        <v>31.01</v>
      </c>
      <c r="H8" s="0" t="s">
        <v>36</v>
      </c>
      <c r="I8" s="2"/>
      <c r="J8" s="2"/>
      <c r="K8" s="0" t="s">
        <v>56</v>
      </c>
      <c r="L8" s="0" t="s">
        <v>57</v>
      </c>
    </row>
    <row r="9">
      <c r="A9" s="0" t="s">
        <v>23</v>
      </c>
      <c r="B9" s="0" t="s">
        <v>58</v>
      </c>
      <c r="C9" s="0" t="s">
        <v>59</v>
      </c>
      <c r="D9" s="0" t="s">
        <v>34</v>
      </c>
      <c r="E9" s="0" t="s">
        <v>27</v>
      </c>
      <c r="F9" s="0">
        <f>TEXT("56339","#")</f>
      </c>
      <c r="G9" s="0">
        <v>18.02</v>
      </c>
      <c r="H9" s="0" t="s">
        <v>36</v>
      </c>
      <c r="I9" s="2"/>
      <c r="J9" s="2"/>
      <c r="K9" s="0" t="s">
        <v>60</v>
      </c>
      <c r="L9" s="0" t="s">
        <v>61</v>
      </c>
    </row>
    <row r="10">
      <c r="A10" s="0" t="s">
        <v>23</v>
      </c>
      <c r="B10" s="0" t="s">
        <v>58</v>
      </c>
      <c r="C10" s="0" t="s">
        <v>62</v>
      </c>
      <c r="D10" s="0" t="s">
        <v>63</v>
      </c>
      <c r="E10" s="0" t="s">
        <v>64</v>
      </c>
      <c r="F10" s="0">
        <f>TEXT("73974","#")</f>
      </c>
      <c r="G10" s="0">
        <v>23.28</v>
      </c>
      <c r="H10" s="0" t="s">
        <v>19</v>
      </c>
      <c r="I10" s="2"/>
      <c r="J10" s="2"/>
      <c r="L10" s="0" t="s">
        <v>37</v>
      </c>
    </row>
    <row r="11">
      <c r="A11" s="0" t="s">
        <v>23</v>
      </c>
      <c r="B11" s="0" t="s">
        <v>58</v>
      </c>
      <c r="C11" s="0" t="s">
        <v>65</v>
      </c>
      <c r="D11" s="0" t="s">
        <v>26</v>
      </c>
      <c r="E11" s="0" t="s">
        <v>27</v>
      </c>
      <c r="F11" s="0">
        <f>TEXT("65003","#")</f>
      </c>
      <c r="G11" s="0">
        <v>47.5</v>
      </c>
      <c r="H11" s="0" t="s">
        <v>19</v>
      </c>
      <c r="I11" s="2"/>
      <c r="J11" s="2"/>
      <c r="L11" s="0" t="s">
        <v>66</v>
      </c>
      <c r="M11" s="0" t="s">
        <v>67</v>
      </c>
    </row>
    <row r="12">
      <c r="A12" s="0" t="s">
        <v>23</v>
      </c>
      <c r="B12" s="0" t="s">
        <v>58</v>
      </c>
      <c r="C12" s="0" t="s">
        <v>68</v>
      </c>
      <c r="D12" s="0" t="s">
        <v>34</v>
      </c>
      <c r="E12" s="0" t="s">
        <v>27</v>
      </c>
      <c r="F12" s="0">
        <f>TEXT("56340","#")</f>
      </c>
      <c r="G12" s="0">
        <v>17.61</v>
      </c>
      <c r="H12" s="0" t="s">
        <v>36</v>
      </c>
      <c r="I12" s="2"/>
      <c r="J12" s="2"/>
      <c r="K12" s="0" t="s">
        <v>69</v>
      </c>
      <c r="L12" s="0" t="s">
        <v>70</v>
      </c>
      <c r="M12" s="0" t="s">
        <v>71</v>
      </c>
    </row>
    <row r="13">
      <c r="A13" s="0" t="s">
        <v>23</v>
      </c>
      <c r="B13" s="0" t="s">
        <v>72</v>
      </c>
      <c r="C13" s="0" t="s">
        <v>73</v>
      </c>
      <c r="D13" s="0" t="s">
        <v>74</v>
      </c>
      <c r="E13" s="0" t="s">
        <v>27</v>
      </c>
      <c r="F13" s="0">
        <f>TEXT("65030","#")</f>
      </c>
      <c r="G13" s="0">
        <v>14.21</v>
      </c>
      <c r="H13" s="0" t="s">
        <v>28</v>
      </c>
      <c r="I13" s="2"/>
      <c r="J13" s="2"/>
      <c r="L13" s="0" t="s">
        <v>75</v>
      </c>
      <c r="M13" s="0" t="s">
        <v>42</v>
      </c>
    </row>
    <row r="14">
      <c r="A14" s="0" t="s">
        <v>23</v>
      </c>
      <c r="B14" s="0" t="s">
        <v>76</v>
      </c>
      <c r="C14" s="0" t="s">
        <v>77</v>
      </c>
      <c r="D14" s="0" t="s">
        <v>34</v>
      </c>
      <c r="E14" s="0" t="s">
        <v>46</v>
      </c>
      <c r="F14" s="0">
        <f>TEXT("88372","#")</f>
      </c>
      <c r="G14" s="0">
        <v>47.99</v>
      </c>
      <c r="H14" s="0" t="s">
        <v>36</v>
      </c>
      <c r="I14" s="2"/>
      <c r="J14" s="2"/>
      <c r="K14" s="0" t="s">
        <v>78</v>
      </c>
      <c r="L14" s="0" t="s">
        <v>79</v>
      </c>
    </row>
    <row r="15">
      <c r="A15" s="0" t="s">
        <v>23</v>
      </c>
      <c r="B15" s="0" t="s">
        <v>80</v>
      </c>
      <c r="C15" s="0" t="s">
        <v>81</v>
      </c>
      <c r="D15" s="0" t="s">
        <v>82</v>
      </c>
      <c r="E15" s="0" t="s">
        <v>83</v>
      </c>
      <c r="F15" s="0">
        <f>TEXT("93098","#")</f>
      </c>
      <c r="G15" s="0">
        <v>10.15</v>
      </c>
      <c r="H15" s="0" t="s">
        <v>36</v>
      </c>
      <c r="I15" s="2"/>
      <c r="J15" s="2"/>
      <c r="K15" s="0" t="s">
        <v>84</v>
      </c>
      <c r="L15" s="0" t="s">
        <v>85</v>
      </c>
    </row>
    <row r="16">
      <c r="A16" s="0" t="s">
        <v>23</v>
      </c>
      <c r="B16" s="0" t="s">
        <v>24</v>
      </c>
      <c r="C16" s="0" t="s">
        <v>86</v>
      </c>
      <c r="D16" s="0" t="s">
        <v>26</v>
      </c>
      <c r="E16" s="0" t="s">
        <v>87</v>
      </c>
      <c r="F16" s="0">
        <f>TEXT("226265","#")</f>
      </c>
      <c r="G16" s="0">
        <v>55.93</v>
      </c>
      <c r="H16" s="0" t="s">
        <v>28</v>
      </c>
      <c r="I16" s="2"/>
      <c r="J16" s="2"/>
      <c r="L16" s="0" t="s">
        <v>88</v>
      </c>
      <c r="M16" s="0" t="s">
        <v>89</v>
      </c>
    </row>
    <row r="17">
      <c r="A17" s="0" t="s">
        <v>23</v>
      </c>
      <c r="B17" s="0" t="s">
        <v>24</v>
      </c>
      <c r="C17" s="0" t="s">
        <v>90</v>
      </c>
      <c r="D17" s="0" t="s">
        <v>26</v>
      </c>
      <c r="E17" s="0" t="s">
        <v>27</v>
      </c>
      <c r="F17" s="0">
        <f>TEXT("63971","#")</f>
      </c>
      <c r="G17" s="0">
        <v>84.24</v>
      </c>
      <c r="H17" s="0" t="s">
        <v>28</v>
      </c>
      <c r="I17" s="2"/>
      <c r="J17" s="2"/>
      <c r="K17" s="0" t="s">
        <v>91</v>
      </c>
      <c r="L17" s="0" t="s">
        <v>30</v>
      </c>
      <c r="M17" s="0" t="s">
        <v>92</v>
      </c>
    </row>
    <row r="18">
      <c r="A18" s="0" t="s">
        <v>23</v>
      </c>
      <c r="B18" s="0" t="s">
        <v>93</v>
      </c>
      <c r="C18" s="0" t="s">
        <v>94</v>
      </c>
      <c r="D18" s="0" t="s">
        <v>95</v>
      </c>
      <c r="E18" s="0" t="s">
        <v>96</v>
      </c>
      <c r="F18" s="0">
        <f>TEXT("2660","#")</f>
      </c>
      <c r="G18" s="0">
        <v>46.66</v>
      </c>
      <c r="H18" s="0" t="s">
        <v>36</v>
      </c>
      <c r="I18" s="2"/>
      <c r="J18" s="2"/>
      <c r="K18" s="0" t="s">
        <v>97</v>
      </c>
      <c r="L18" s="0" t="s">
        <v>98</v>
      </c>
    </row>
    <row r="19">
      <c r="A19" s="0" t="s">
        <v>23</v>
      </c>
      <c r="B19" s="0" t="s">
        <v>99</v>
      </c>
      <c r="C19" s="0" t="s">
        <v>100</v>
      </c>
      <c r="D19" s="0" t="s">
        <v>34</v>
      </c>
      <c r="E19" s="0" t="s">
        <v>96</v>
      </c>
      <c r="F19" s="0">
        <f>TEXT("2174","#")</f>
      </c>
      <c r="G19" s="0">
        <v>45.75</v>
      </c>
      <c r="H19" s="0" t="s">
        <v>36</v>
      </c>
      <c r="I19" s="2"/>
      <c r="J19" s="2"/>
      <c r="K19" s="0" t="s">
        <v>101</v>
      </c>
      <c r="L19" s="0" t="s">
        <v>102</v>
      </c>
    </row>
    <row r="20">
      <c r="A20" s="0" t="s">
        <v>23</v>
      </c>
      <c r="B20" s="0" t="s">
        <v>103</v>
      </c>
      <c r="C20" s="0" t="s">
        <v>103</v>
      </c>
      <c r="D20" s="0" t="s">
        <v>26</v>
      </c>
      <c r="E20" s="0" t="s">
        <v>27</v>
      </c>
      <c r="F20" s="0">
        <f>TEXT("65010","#")</f>
      </c>
      <c r="G20" s="0">
        <v>5.31</v>
      </c>
      <c r="H20" s="0" t="s">
        <v>28</v>
      </c>
      <c r="I20" s="2"/>
      <c r="J20" s="2"/>
      <c r="K20" s="0" t="s">
        <v>104</v>
      </c>
      <c r="L20" s="0" t="s">
        <v>105</v>
      </c>
    </row>
    <row r="21">
      <c r="A21" s="0" t="s">
        <v>23</v>
      </c>
      <c r="B21" s="0" t="s">
        <v>106</v>
      </c>
      <c r="C21" s="0" t="s">
        <v>107</v>
      </c>
      <c r="D21" s="0" t="s">
        <v>74</v>
      </c>
      <c r="E21" s="0" t="s">
        <v>27</v>
      </c>
      <c r="F21" s="0">
        <f>TEXT("65032","#")</f>
      </c>
      <c r="G21" s="0">
        <v>15.05</v>
      </c>
      <c r="H21" s="0" t="s">
        <v>28</v>
      </c>
      <c r="I21" s="2"/>
      <c r="J21" s="2"/>
      <c r="L21" s="0" t="s">
        <v>75</v>
      </c>
      <c r="M21" s="0" t="s">
        <v>42</v>
      </c>
    </row>
    <row r="22">
      <c r="A22" s="0" t="s">
        <v>23</v>
      </c>
      <c r="B22" s="0" t="s">
        <v>106</v>
      </c>
      <c r="C22" s="0" t="s">
        <v>108</v>
      </c>
      <c r="D22" s="0" t="s">
        <v>74</v>
      </c>
      <c r="E22" s="0" t="s">
        <v>27</v>
      </c>
      <c r="F22" s="0">
        <f>TEXT("65033","#")</f>
      </c>
      <c r="G22" s="0">
        <v>11.67</v>
      </c>
      <c r="H22" s="0" t="s">
        <v>28</v>
      </c>
      <c r="I22" s="2"/>
      <c r="J22" s="2"/>
      <c r="L22" s="0" t="s">
        <v>75</v>
      </c>
      <c r="M22" s="0" t="s">
        <v>42</v>
      </c>
    </row>
    <row r="23">
      <c r="A23" s="0" t="s">
        <v>23</v>
      </c>
      <c r="B23" s="0" t="s">
        <v>109</v>
      </c>
      <c r="C23" s="0" t="s">
        <v>110</v>
      </c>
      <c r="D23" s="0" t="s">
        <v>63</v>
      </c>
      <c r="E23" s="0" t="s">
        <v>111</v>
      </c>
      <c r="F23" s="0">
        <f>TEXT("79440","#")</f>
      </c>
      <c r="G23" s="0">
        <v>3.43</v>
      </c>
      <c r="H23" s="0" t="s">
        <v>28</v>
      </c>
      <c r="I23" s="2"/>
      <c r="J23" s="2"/>
      <c r="K23" s="0" t="s">
        <v>67</v>
      </c>
      <c r="L23" s="0" t="s">
        <v>112</v>
      </c>
    </row>
    <row r="24">
      <c r="A24" s="0" t="s">
        <v>113</v>
      </c>
      <c r="B24" s="0" t="s">
        <v>114</v>
      </c>
      <c r="C24" s="0" t="s">
        <v>115</v>
      </c>
      <c r="D24" s="0" t="s">
        <v>116</v>
      </c>
      <c r="E24" s="0" t="s">
        <v>117</v>
      </c>
      <c r="F24" s="0">
        <f>TEXT("130079","#")</f>
      </c>
      <c r="G24" s="0">
        <v>20.96</v>
      </c>
      <c r="H24" s="0" t="s">
        <v>118</v>
      </c>
      <c r="I24" s="2"/>
      <c r="J24" s="2"/>
      <c r="L24" s="0" t="s">
        <v>37</v>
      </c>
    </row>
    <row r="25">
      <c r="A25" s="0" t="s">
        <v>113</v>
      </c>
      <c r="B25" s="0" t="s">
        <v>119</v>
      </c>
      <c r="C25" s="0" t="s">
        <v>120</v>
      </c>
      <c r="D25" s="0" t="s">
        <v>50</v>
      </c>
      <c r="E25" s="0" t="s">
        <v>121</v>
      </c>
      <c r="F25" s="0">
        <f>TEXT("220637","#")</f>
      </c>
      <c r="G25" s="0">
        <v>37.96</v>
      </c>
      <c r="H25" s="0" t="s">
        <v>28</v>
      </c>
      <c r="I25" s="2"/>
      <c r="J25" s="2"/>
      <c r="L25" s="0" t="s">
        <v>122</v>
      </c>
    </row>
    <row r="26">
      <c r="A26" s="0" t="s">
        <v>123</v>
      </c>
      <c r="B26" s="0" t="s">
        <v>124</v>
      </c>
      <c r="C26" s="0" t="s">
        <v>125</v>
      </c>
      <c r="D26" s="0" t="s">
        <v>126</v>
      </c>
      <c r="E26" s="0" t="s">
        <v>127</v>
      </c>
      <c r="F26" s="0">
        <f>TEXT("218647","#")</f>
      </c>
      <c r="G26" s="0">
        <v>72.67</v>
      </c>
      <c r="H26" s="0" t="s">
        <v>19</v>
      </c>
      <c r="I26" s="2"/>
      <c r="J26" s="2"/>
    </row>
    <row r="27">
      <c r="A27" s="0" t="s">
        <v>123</v>
      </c>
      <c r="B27" s="0" t="s">
        <v>128</v>
      </c>
      <c r="C27" s="0" t="s">
        <v>129</v>
      </c>
      <c r="D27" s="0" t="s">
        <v>130</v>
      </c>
      <c r="E27" s="0" t="s">
        <v>131</v>
      </c>
      <c r="F27" s="0">
        <f>TEXT("188827","#")</f>
      </c>
      <c r="G27" s="0">
        <v>80.06</v>
      </c>
      <c r="H27" s="0" t="s">
        <v>19</v>
      </c>
      <c r="I27" s="2"/>
      <c r="J27" s="2"/>
    </row>
    <row r="28">
      <c r="A28" s="0" t="s">
        <v>123</v>
      </c>
      <c r="B28" s="0" t="s">
        <v>132</v>
      </c>
      <c r="C28" s="0" t="s">
        <v>133</v>
      </c>
      <c r="D28" s="0" t="s">
        <v>130</v>
      </c>
      <c r="E28" s="0" t="s">
        <v>131</v>
      </c>
      <c r="F28" s="0">
        <f>TEXT("177357","#")</f>
      </c>
      <c r="G28" s="0">
        <v>67.55</v>
      </c>
      <c r="H28" s="0" t="s">
        <v>19</v>
      </c>
      <c r="I28" s="2"/>
      <c r="J28" s="2"/>
    </row>
    <row r="29">
      <c r="A29" s="0" t="s">
        <v>134</v>
      </c>
      <c r="B29" s="0" t="s">
        <v>135</v>
      </c>
      <c r="C29" s="0" t="s">
        <v>136</v>
      </c>
      <c r="D29" s="0" t="s">
        <v>26</v>
      </c>
      <c r="E29" s="0" t="s">
        <v>27</v>
      </c>
      <c r="F29" s="0">
        <f>TEXT("64999","#")</f>
      </c>
      <c r="G29" s="0">
        <v>35.2</v>
      </c>
      <c r="H29" s="0" t="s">
        <v>28</v>
      </c>
      <c r="I29" s="2"/>
      <c r="J29" s="2"/>
      <c r="L29" s="0" t="s">
        <v>37</v>
      </c>
    </row>
    <row r="30">
      <c r="A30" s="0" t="s">
        <v>134</v>
      </c>
      <c r="B30" s="0" t="s">
        <v>137</v>
      </c>
      <c r="C30" s="0" t="s">
        <v>138</v>
      </c>
      <c r="D30" s="0" t="s">
        <v>139</v>
      </c>
      <c r="E30" s="0" t="s">
        <v>27</v>
      </c>
      <c r="F30" s="0">
        <f>TEXT("189363","#")</f>
      </c>
      <c r="G30" s="0">
        <v>6.5</v>
      </c>
      <c r="H30" s="0" t="s">
        <v>140</v>
      </c>
      <c r="I30" s="2"/>
      <c r="J30" s="2"/>
      <c r="K30" s="0" t="s">
        <v>141</v>
      </c>
      <c r="L30" s="0" t="s">
        <v>142</v>
      </c>
    </row>
    <row r="31">
      <c r="A31" s="0" t="s">
        <v>134</v>
      </c>
      <c r="B31" s="0" t="s">
        <v>137</v>
      </c>
      <c r="C31" s="0" t="s">
        <v>143</v>
      </c>
      <c r="D31" s="0" t="s">
        <v>144</v>
      </c>
      <c r="E31" s="0" t="s">
        <v>145</v>
      </c>
      <c r="F31" s="0">
        <f>TEXT("17093","#")</f>
      </c>
      <c r="G31" s="0">
        <v>10.7</v>
      </c>
      <c r="H31" s="0" t="s">
        <v>140</v>
      </c>
      <c r="I31" s="2"/>
      <c r="J31" s="2"/>
      <c r="L31" s="0" t="s">
        <v>37</v>
      </c>
    </row>
    <row r="32">
      <c r="A32" s="0" t="s">
        <v>146</v>
      </c>
      <c r="B32" s="0" t="s">
        <v>147</v>
      </c>
      <c r="C32" s="0" t="s">
        <v>148</v>
      </c>
      <c r="D32" s="0" t="s">
        <v>149</v>
      </c>
      <c r="E32" s="0" t="s">
        <v>150</v>
      </c>
      <c r="F32" s="0">
        <f>TEXT("7933","#")</f>
      </c>
      <c r="G32" s="0">
        <v>30.81</v>
      </c>
      <c r="H32" s="0" t="s">
        <v>19</v>
      </c>
      <c r="I32" s="2"/>
      <c r="J32" s="2"/>
    </row>
    <row r="33">
      <c r="A33" s="0" t="s">
        <v>146</v>
      </c>
      <c r="B33" s="0" t="s">
        <v>151</v>
      </c>
      <c r="C33" s="0" t="s">
        <v>152</v>
      </c>
      <c r="D33" s="0" t="s">
        <v>153</v>
      </c>
      <c r="E33" s="0" t="s">
        <v>154</v>
      </c>
      <c r="F33" s="0">
        <f>TEXT("227235","#")</f>
      </c>
      <c r="G33" s="0">
        <v>26.82</v>
      </c>
      <c r="H33" s="0" t="s">
        <v>155</v>
      </c>
      <c r="I33" s="2"/>
      <c r="J33" s="2"/>
      <c r="K33" s="0" t="s">
        <v>156</v>
      </c>
      <c r="L33" s="0" t="s">
        <v>157</v>
      </c>
      <c r="M33" s="0" t="s">
        <v>158</v>
      </c>
    </row>
    <row r="34">
      <c r="A34" s="0" t="s">
        <v>159</v>
      </c>
      <c r="B34" s="0" t="s">
        <v>160</v>
      </c>
      <c r="C34" s="0" t="s">
        <v>161</v>
      </c>
      <c r="D34" s="0" t="s">
        <v>50</v>
      </c>
      <c r="E34" s="0" t="s">
        <v>162</v>
      </c>
      <c r="F34" s="0">
        <f>TEXT("128842","#")</f>
      </c>
      <c r="G34" s="0">
        <v>29.48</v>
      </c>
      <c r="H34" s="0" t="s">
        <v>155</v>
      </c>
      <c r="I34" s="2"/>
      <c r="J34" s="2"/>
      <c r="K34" s="0" t="s">
        <v>163</v>
      </c>
      <c r="L34" s="0" t="s">
        <v>164</v>
      </c>
    </row>
    <row r="35">
      <c r="A35" s="0" t="s">
        <v>159</v>
      </c>
      <c r="B35" s="0" t="s">
        <v>165</v>
      </c>
      <c r="C35" s="0" t="s">
        <v>166</v>
      </c>
      <c r="D35" s="0" t="s">
        <v>167</v>
      </c>
      <c r="E35" s="0" t="s">
        <v>168</v>
      </c>
      <c r="F35" s="0">
        <f>TEXT("152250","#")</f>
      </c>
      <c r="G35" s="0">
        <v>115.49</v>
      </c>
      <c r="H35" s="0" t="s">
        <v>19</v>
      </c>
      <c r="I35" s="2"/>
      <c r="J35" s="2"/>
      <c r="K35" s="0" t="s">
        <v>169</v>
      </c>
      <c r="L35" s="0" t="s">
        <v>170</v>
      </c>
      <c r="M35" s="0" t="s">
        <v>171</v>
      </c>
      <c r="N35" s="0" t="s">
        <v>172</v>
      </c>
    </row>
    <row r="36">
      <c r="A36" s="0" t="s">
        <v>159</v>
      </c>
      <c r="B36" s="0" t="s">
        <v>165</v>
      </c>
      <c r="C36" s="0" t="s">
        <v>173</v>
      </c>
      <c r="D36" s="0" t="s">
        <v>174</v>
      </c>
      <c r="E36" s="0" t="s">
        <v>175</v>
      </c>
      <c r="F36" s="0">
        <f>TEXT("156438","#")</f>
      </c>
      <c r="G36" s="0">
        <v>92.65</v>
      </c>
      <c r="H36" s="0" t="s">
        <v>19</v>
      </c>
      <c r="I36" s="2"/>
      <c r="J36" s="2"/>
      <c r="K36" s="0" t="s">
        <v>176</v>
      </c>
      <c r="L36" s="0" t="s">
        <v>177</v>
      </c>
      <c r="M36" s="0" t="s">
        <v>171</v>
      </c>
    </row>
    <row r="37">
      <c r="A37" s="0" t="s">
        <v>159</v>
      </c>
      <c r="B37" s="0" t="s">
        <v>178</v>
      </c>
      <c r="C37" s="0" t="s">
        <v>179</v>
      </c>
      <c r="D37" s="0" t="s">
        <v>180</v>
      </c>
      <c r="E37" s="0" t="s">
        <v>168</v>
      </c>
      <c r="F37" s="0">
        <f>TEXT("77441","#")</f>
      </c>
      <c r="G37" s="0">
        <v>94.39</v>
      </c>
      <c r="H37" s="0" t="s">
        <v>19</v>
      </c>
      <c r="I37" s="2"/>
      <c r="J37" s="2"/>
      <c r="K37" s="0" t="s">
        <v>181</v>
      </c>
      <c r="L37" s="0" t="s">
        <v>182</v>
      </c>
      <c r="M37" s="0" t="s">
        <v>183</v>
      </c>
      <c r="N37" s="0" t="s">
        <v>184</v>
      </c>
    </row>
    <row r="38">
      <c r="A38" s="0" t="s">
        <v>159</v>
      </c>
      <c r="B38" s="0" t="s">
        <v>185</v>
      </c>
      <c r="C38" s="0" t="s">
        <v>186</v>
      </c>
      <c r="D38" s="0" t="s">
        <v>187</v>
      </c>
      <c r="E38" s="0" t="s">
        <v>188</v>
      </c>
      <c r="F38" s="0">
        <f>TEXT("183888","#")</f>
      </c>
      <c r="G38" s="0">
        <v>68</v>
      </c>
      <c r="H38" s="0" t="s">
        <v>19</v>
      </c>
      <c r="I38" s="2"/>
      <c r="J38" s="2"/>
      <c r="K38" s="0" t="s">
        <v>189</v>
      </c>
      <c r="L38" s="0" t="s">
        <v>190</v>
      </c>
    </row>
    <row r="39">
      <c r="A39" s="0" t="s">
        <v>159</v>
      </c>
      <c r="B39" s="0" t="s">
        <v>165</v>
      </c>
      <c r="C39" s="0" t="s">
        <v>191</v>
      </c>
      <c r="D39" s="0" t="s">
        <v>192</v>
      </c>
      <c r="E39" s="0" t="s">
        <v>175</v>
      </c>
      <c r="F39" s="0">
        <f>TEXT("173532","#")</f>
      </c>
      <c r="G39" s="0">
        <v>64.16</v>
      </c>
      <c r="H39" s="0" t="s">
        <v>19</v>
      </c>
      <c r="I39" s="2"/>
      <c r="J39" s="2"/>
      <c r="K39" s="0" t="s">
        <v>176</v>
      </c>
      <c r="L39" s="0" t="s">
        <v>193</v>
      </c>
      <c r="M39" s="0" t="s">
        <v>194</v>
      </c>
    </row>
    <row r="40">
      <c r="A40" s="0" t="s">
        <v>159</v>
      </c>
      <c r="B40" s="0" t="s">
        <v>195</v>
      </c>
      <c r="C40" s="0" t="s">
        <v>196</v>
      </c>
      <c r="D40" s="0" t="s">
        <v>197</v>
      </c>
      <c r="E40" s="0" t="s">
        <v>198</v>
      </c>
      <c r="F40" s="0">
        <f>TEXT("2982","#")</f>
      </c>
      <c r="G40" s="0">
        <v>124.53</v>
      </c>
      <c r="H40" s="0" t="s">
        <v>19</v>
      </c>
      <c r="I40" s="2"/>
      <c r="J40" s="2"/>
      <c r="K40" s="0" t="s">
        <v>199</v>
      </c>
      <c r="L40" s="0" t="s">
        <v>200</v>
      </c>
      <c r="M40" s="0" t="s">
        <v>201</v>
      </c>
      <c r="N40" s="0" t="s">
        <v>202</v>
      </c>
    </row>
    <row r="41">
      <c r="A41" s="0" t="s">
        <v>159</v>
      </c>
      <c r="B41" s="0" t="s">
        <v>195</v>
      </c>
      <c r="C41" s="0" t="s">
        <v>203</v>
      </c>
      <c r="D41" s="0" t="s">
        <v>204</v>
      </c>
      <c r="E41" s="0" t="s">
        <v>198</v>
      </c>
      <c r="F41" s="0">
        <f>TEXT("617","#")</f>
      </c>
      <c r="G41" s="0">
        <v>81.04</v>
      </c>
      <c r="H41" s="0" t="s">
        <v>19</v>
      </c>
      <c r="I41" s="2"/>
      <c r="J41" s="2"/>
      <c r="K41" s="0" t="s">
        <v>199</v>
      </c>
      <c r="L41" s="0" t="s">
        <v>205</v>
      </c>
      <c r="M41" s="0" t="s">
        <v>201</v>
      </c>
    </row>
    <row r="42">
      <c r="A42" s="0" t="s">
        <v>159</v>
      </c>
      <c r="B42" s="0" t="s">
        <v>206</v>
      </c>
      <c r="C42" s="0" t="s">
        <v>207</v>
      </c>
      <c r="D42" s="0" t="s">
        <v>208</v>
      </c>
      <c r="E42" s="0" t="s">
        <v>209</v>
      </c>
      <c r="F42" s="0">
        <f>TEXT("136026","#")</f>
      </c>
      <c r="G42" s="0">
        <v>3.38</v>
      </c>
      <c r="H42" s="0" t="s">
        <v>28</v>
      </c>
      <c r="I42" s="2"/>
      <c r="J42" s="2"/>
      <c r="L42" s="0" t="s">
        <v>37</v>
      </c>
    </row>
    <row r="43">
      <c r="A43" s="0" t="s">
        <v>159</v>
      </c>
      <c r="B43" s="0" t="s">
        <v>206</v>
      </c>
      <c r="C43" s="0" t="s">
        <v>210</v>
      </c>
      <c r="D43" s="0" t="s">
        <v>208</v>
      </c>
      <c r="E43" s="0" t="s">
        <v>209</v>
      </c>
      <c r="F43" s="0">
        <f>TEXT("30253","#")</f>
      </c>
      <c r="G43" s="0">
        <v>2.97</v>
      </c>
      <c r="H43" s="0" t="s">
        <v>28</v>
      </c>
      <c r="I43" s="2"/>
      <c r="J43" s="2"/>
      <c r="K43" s="0" t="s">
        <v>104</v>
      </c>
      <c r="L43" s="0" t="s">
        <v>211</v>
      </c>
      <c r="M43" s="0" t="s">
        <v>67</v>
      </c>
    </row>
    <row r="44">
      <c r="A44" s="0" t="s">
        <v>212</v>
      </c>
      <c r="B44" s="0" t="s">
        <v>213</v>
      </c>
      <c r="C44" s="0" t="s">
        <v>214</v>
      </c>
      <c r="D44" s="0" t="s">
        <v>215</v>
      </c>
      <c r="E44" s="0" t="s">
        <v>216</v>
      </c>
      <c r="F44" s="0">
        <f>TEXT("66584","#")</f>
      </c>
      <c r="G44" s="0">
        <v>78.2</v>
      </c>
      <c r="H44" s="0" t="s">
        <v>19</v>
      </c>
      <c r="I44" s="2"/>
      <c r="J44" s="2"/>
    </row>
    <row r="45">
      <c r="A45" s="0" t="s">
        <v>212</v>
      </c>
      <c r="B45" s="0" t="s">
        <v>217</v>
      </c>
      <c r="C45" s="0" t="s">
        <v>218</v>
      </c>
      <c r="D45" s="0" t="s">
        <v>219</v>
      </c>
      <c r="E45" s="0" t="s">
        <v>220</v>
      </c>
      <c r="F45" s="0">
        <f>TEXT("150703","#")</f>
      </c>
      <c r="G45" s="0">
        <v>3.26</v>
      </c>
      <c r="H45" s="0" t="s">
        <v>28</v>
      </c>
      <c r="I45" s="2"/>
      <c r="J45" s="2"/>
    </row>
    <row r="46">
      <c r="A46" s="0" t="s">
        <v>212</v>
      </c>
      <c r="B46" s="0" t="s">
        <v>221</v>
      </c>
      <c r="C46" s="0" t="s">
        <v>222</v>
      </c>
      <c r="D46" s="0" t="s">
        <v>223</v>
      </c>
      <c r="E46" s="0" t="s">
        <v>224</v>
      </c>
      <c r="F46" s="0">
        <f>TEXT("167655","#")</f>
      </c>
      <c r="G46" s="0">
        <v>41.84</v>
      </c>
      <c r="H46" s="0" t="s">
        <v>19</v>
      </c>
      <c r="I46" s="2"/>
      <c r="J46" s="2"/>
    </row>
    <row r="47">
      <c r="A47" s="0" t="s">
        <v>225</v>
      </c>
      <c r="B47" s="0" t="s">
        <v>226</v>
      </c>
      <c r="C47" s="0" t="s">
        <v>227</v>
      </c>
      <c r="D47" s="0" t="s">
        <v>63</v>
      </c>
      <c r="E47" s="0" t="s">
        <v>228</v>
      </c>
      <c r="F47" s="0">
        <f>TEXT("125104","#")</f>
      </c>
      <c r="G47" s="0">
        <v>9.43</v>
      </c>
      <c r="H47" s="0" t="s">
        <v>229</v>
      </c>
      <c r="I47" s="2"/>
      <c r="J47" s="2"/>
      <c r="K47" s="0" t="s">
        <v>230</v>
      </c>
      <c r="L47" s="0" t="s">
        <v>231</v>
      </c>
      <c r="N47" s="0" t="s">
        <v>232</v>
      </c>
    </row>
    <row r="48">
      <c r="A48" s="0" t="s">
        <v>225</v>
      </c>
      <c r="B48" s="0" t="s">
        <v>226</v>
      </c>
      <c r="C48" s="0" t="s">
        <v>227</v>
      </c>
      <c r="D48" s="0" t="s">
        <v>233</v>
      </c>
      <c r="E48" s="0" t="s">
        <v>228</v>
      </c>
      <c r="F48" s="0">
        <f>TEXT("222069","#")</f>
      </c>
      <c r="G48" s="0">
        <v>26.66</v>
      </c>
      <c r="H48" s="0" t="s">
        <v>234</v>
      </c>
      <c r="I48" s="2"/>
      <c r="J48" s="2"/>
      <c r="K48" s="0" t="s">
        <v>230</v>
      </c>
      <c r="L48" s="0" t="s">
        <v>235</v>
      </c>
    </row>
    <row r="49">
      <c r="A49" s="0" t="s">
        <v>225</v>
      </c>
      <c r="B49" s="0" t="s">
        <v>226</v>
      </c>
      <c r="C49" s="0" t="s">
        <v>236</v>
      </c>
      <c r="D49" s="0" t="s">
        <v>233</v>
      </c>
      <c r="E49" s="0" t="s">
        <v>237</v>
      </c>
      <c r="F49" s="0">
        <f>TEXT("13807","#")</f>
      </c>
      <c r="G49" s="0">
        <v>31</v>
      </c>
      <c r="H49" s="0" t="s">
        <v>234</v>
      </c>
      <c r="I49" s="2"/>
      <c r="J49" s="2"/>
      <c r="K49" s="0" t="s">
        <v>230</v>
      </c>
      <c r="L49" s="0" t="s">
        <v>238</v>
      </c>
    </row>
    <row r="50">
      <c r="A50" s="0" t="s">
        <v>225</v>
      </c>
      <c r="B50" s="0" t="s">
        <v>226</v>
      </c>
      <c r="C50" s="0" t="s">
        <v>239</v>
      </c>
      <c r="D50" s="0" t="s">
        <v>233</v>
      </c>
      <c r="E50" s="0" t="s">
        <v>228</v>
      </c>
      <c r="F50" s="0">
        <f>TEXT("222070","#")</f>
      </c>
      <c r="G50" s="0">
        <v>26.66</v>
      </c>
      <c r="H50" s="0" t="s">
        <v>234</v>
      </c>
      <c r="I50" s="2"/>
      <c r="J50" s="2"/>
      <c r="K50" s="0" t="s">
        <v>230</v>
      </c>
      <c r="L50" s="0" t="s">
        <v>240</v>
      </c>
      <c r="N50" s="0" t="s">
        <v>241</v>
      </c>
    </row>
    <row r="51">
      <c r="A51" s="0" t="s">
        <v>225</v>
      </c>
      <c r="B51" s="0" t="s">
        <v>242</v>
      </c>
      <c r="C51" s="0" t="s">
        <v>243</v>
      </c>
      <c r="D51" s="0" t="s">
        <v>116</v>
      </c>
      <c r="E51" s="0" t="s">
        <v>244</v>
      </c>
      <c r="F51" s="0">
        <f>TEXT("160640","#")</f>
      </c>
      <c r="G51" s="0">
        <v>34.34</v>
      </c>
      <c r="H51" s="0" t="s">
        <v>118</v>
      </c>
      <c r="I51" s="2"/>
      <c r="J51" s="2"/>
      <c r="K51" s="0" t="s">
        <v>230</v>
      </c>
      <c r="L51" s="0" t="s">
        <v>245</v>
      </c>
    </row>
    <row r="52">
      <c r="A52" s="0" t="s">
        <v>225</v>
      </c>
      <c r="B52" s="0" t="s">
        <v>242</v>
      </c>
      <c r="C52" s="0" t="s">
        <v>246</v>
      </c>
      <c r="D52" s="0" t="s">
        <v>247</v>
      </c>
      <c r="E52" s="0" t="s">
        <v>244</v>
      </c>
      <c r="F52" s="0">
        <f>TEXT("160638","#")</f>
      </c>
      <c r="G52" s="0">
        <v>5.45</v>
      </c>
      <c r="H52" s="0" t="s">
        <v>28</v>
      </c>
      <c r="I52" s="2"/>
      <c r="J52" s="2"/>
      <c r="K52" s="0" t="s">
        <v>230</v>
      </c>
      <c r="L52" s="0" t="s">
        <v>245</v>
      </c>
    </row>
    <row r="53">
      <c r="A53" s="0" t="s">
        <v>225</v>
      </c>
      <c r="B53" s="0" t="s">
        <v>248</v>
      </c>
      <c r="C53" s="0" t="s">
        <v>249</v>
      </c>
      <c r="D53" s="0" t="s">
        <v>116</v>
      </c>
      <c r="E53" s="0" t="s">
        <v>250</v>
      </c>
      <c r="F53" s="0">
        <f>TEXT("124836","#")</f>
      </c>
      <c r="G53" s="0">
        <v>37.53</v>
      </c>
      <c r="H53" s="0" t="s">
        <v>118</v>
      </c>
      <c r="I53" s="2"/>
      <c r="J53" s="2"/>
      <c r="K53" s="0" t="s">
        <v>230</v>
      </c>
      <c r="L53" s="0" t="s">
        <v>251</v>
      </c>
    </row>
    <row r="54">
      <c r="A54" s="0" t="s">
        <v>225</v>
      </c>
      <c r="B54" s="0" t="s">
        <v>252</v>
      </c>
      <c r="C54" s="0" t="s">
        <v>253</v>
      </c>
      <c r="D54" s="0" t="s">
        <v>116</v>
      </c>
      <c r="E54" s="0" t="s">
        <v>254</v>
      </c>
      <c r="F54" s="0">
        <f>TEXT("128846","#")</f>
      </c>
      <c r="G54" s="0">
        <v>35.6</v>
      </c>
      <c r="H54" s="0" t="s">
        <v>118</v>
      </c>
      <c r="I54" s="2"/>
      <c r="J54" s="2"/>
      <c r="K54" s="0" t="s">
        <v>230</v>
      </c>
      <c r="L54" s="0" t="s">
        <v>251</v>
      </c>
    </row>
    <row r="55">
      <c r="A55" s="0" t="s">
        <v>225</v>
      </c>
      <c r="B55" s="0" t="s">
        <v>255</v>
      </c>
      <c r="C55" s="0" t="s">
        <v>255</v>
      </c>
      <c r="D55" s="0" t="s">
        <v>50</v>
      </c>
      <c r="E55" s="0" t="s">
        <v>256</v>
      </c>
      <c r="F55" s="0">
        <f>TEXT("119662","#")</f>
      </c>
      <c r="G55" s="0">
        <v>28.12</v>
      </c>
      <c r="H55" s="0" t="s">
        <v>28</v>
      </c>
      <c r="I55" s="2"/>
      <c r="J55" s="2"/>
      <c r="K55" s="0" t="s">
        <v>230</v>
      </c>
      <c r="L55" s="0" t="s">
        <v>235</v>
      </c>
    </row>
    <row r="56">
      <c r="A56" s="0" t="s">
        <v>225</v>
      </c>
      <c r="B56" s="0" t="s">
        <v>257</v>
      </c>
      <c r="C56" s="0" t="s">
        <v>257</v>
      </c>
      <c r="D56" s="0" t="s">
        <v>50</v>
      </c>
      <c r="E56" s="0" t="s">
        <v>258</v>
      </c>
      <c r="F56" s="0">
        <f>TEXT("129842","#")</f>
      </c>
      <c r="G56" s="0">
        <v>44.8</v>
      </c>
      <c r="H56" s="0" t="s">
        <v>259</v>
      </c>
      <c r="I56" s="2"/>
      <c r="J56" s="2"/>
      <c r="K56" s="0" t="s">
        <v>230</v>
      </c>
      <c r="L56" s="0" t="s">
        <v>251</v>
      </c>
    </row>
    <row r="57">
      <c r="A57" s="0" t="s">
        <v>225</v>
      </c>
      <c r="B57" s="0" t="s">
        <v>257</v>
      </c>
      <c r="C57" s="0" t="s">
        <v>260</v>
      </c>
      <c r="D57" s="0" t="s">
        <v>261</v>
      </c>
      <c r="E57" s="0" t="s">
        <v>250</v>
      </c>
      <c r="F57" s="0">
        <f>TEXT("131314","#")</f>
      </c>
      <c r="G57" s="0">
        <v>7.09</v>
      </c>
      <c r="H57" s="0" t="s">
        <v>28</v>
      </c>
      <c r="I57" s="2"/>
      <c r="J57" s="2"/>
      <c r="K57" s="0" t="s">
        <v>230</v>
      </c>
      <c r="L57" s="0" t="s">
        <v>251</v>
      </c>
    </row>
    <row r="58">
      <c r="A58" s="0" t="s">
        <v>225</v>
      </c>
      <c r="B58" s="0" t="s">
        <v>257</v>
      </c>
      <c r="C58" s="0" t="s">
        <v>262</v>
      </c>
      <c r="D58" s="0" t="s">
        <v>233</v>
      </c>
      <c r="E58" s="0" t="s">
        <v>258</v>
      </c>
      <c r="F58" s="0">
        <f>TEXT("173681","#")</f>
      </c>
      <c r="G58" s="0">
        <v>34.8</v>
      </c>
      <c r="H58" s="0" t="s">
        <v>259</v>
      </c>
      <c r="I58" s="2"/>
      <c r="J58" s="2"/>
      <c r="K58" s="0" t="s">
        <v>230</v>
      </c>
      <c r="L58" s="0" t="s">
        <v>251</v>
      </c>
    </row>
    <row r="59">
      <c r="A59" s="0" t="s">
        <v>225</v>
      </c>
      <c r="B59" s="0" t="s">
        <v>257</v>
      </c>
      <c r="C59" s="0" t="s">
        <v>263</v>
      </c>
      <c r="D59" s="0" t="s">
        <v>50</v>
      </c>
      <c r="E59" s="0" t="s">
        <v>228</v>
      </c>
      <c r="F59" s="0">
        <f>TEXT("161741","#")</f>
      </c>
      <c r="G59" s="0">
        <v>44.07</v>
      </c>
      <c r="H59" s="0" t="s">
        <v>52</v>
      </c>
      <c r="I59" s="2"/>
      <c r="J59" s="2"/>
      <c r="K59" s="0" t="s">
        <v>230</v>
      </c>
      <c r="L59" s="0" t="s">
        <v>251</v>
      </c>
    </row>
    <row r="60">
      <c r="A60" s="0" t="s">
        <v>225</v>
      </c>
      <c r="B60" s="0" t="s">
        <v>264</v>
      </c>
      <c r="C60" s="0" t="s">
        <v>265</v>
      </c>
      <c r="D60" s="0" t="s">
        <v>26</v>
      </c>
      <c r="E60" s="0" t="s">
        <v>266</v>
      </c>
      <c r="F60" s="0">
        <f>TEXT("171309","#")</f>
      </c>
      <c r="G60" s="0">
        <v>27.81</v>
      </c>
      <c r="H60" s="0" t="s">
        <v>28</v>
      </c>
      <c r="I60" s="2"/>
      <c r="J60" s="2"/>
      <c r="K60" s="0" t="s">
        <v>230</v>
      </c>
      <c r="L60" s="0" t="s">
        <v>267</v>
      </c>
    </row>
    <row r="61">
      <c r="A61" s="0" t="s">
        <v>225</v>
      </c>
      <c r="B61" s="0" t="s">
        <v>268</v>
      </c>
      <c r="C61" s="0" t="s">
        <v>269</v>
      </c>
      <c r="D61" s="0" t="s">
        <v>26</v>
      </c>
      <c r="E61" s="0" t="s">
        <v>258</v>
      </c>
      <c r="F61" s="0">
        <f>TEXT("2470","#")</f>
      </c>
      <c r="G61" s="0">
        <v>113.28</v>
      </c>
      <c r="H61" s="0" t="s">
        <v>19</v>
      </c>
      <c r="I61" s="2"/>
      <c r="J61" s="2"/>
      <c r="K61" s="0" t="s">
        <v>230</v>
      </c>
      <c r="L61" s="0" t="s">
        <v>251</v>
      </c>
    </row>
    <row r="62">
      <c r="A62" s="0" t="s">
        <v>225</v>
      </c>
      <c r="B62" s="0" t="s">
        <v>270</v>
      </c>
      <c r="C62" s="0" t="s">
        <v>271</v>
      </c>
      <c r="D62" s="0" t="s">
        <v>50</v>
      </c>
      <c r="E62" s="0" t="s">
        <v>228</v>
      </c>
      <c r="F62" s="0">
        <f>TEXT("84811","#")</f>
      </c>
      <c r="G62" s="0">
        <v>24.47</v>
      </c>
      <c r="H62" s="0" t="s">
        <v>28</v>
      </c>
      <c r="I62" s="2"/>
      <c r="J62" s="2"/>
      <c r="K62" s="0" t="s">
        <v>230</v>
      </c>
      <c r="L62" s="0" t="s">
        <v>272</v>
      </c>
    </row>
    <row r="63">
      <c r="A63" s="0" t="s">
        <v>225</v>
      </c>
      <c r="B63" s="0" t="s">
        <v>273</v>
      </c>
      <c r="C63" s="0" t="s">
        <v>274</v>
      </c>
      <c r="D63" s="0" t="s">
        <v>26</v>
      </c>
      <c r="E63" s="0" t="s">
        <v>275</v>
      </c>
      <c r="F63" s="0">
        <f>TEXT("185996","#")</f>
      </c>
      <c r="G63" s="0">
        <v>23.5</v>
      </c>
      <c r="H63" s="0" t="s">
        <v>28</v>
      </c>
      <c r="I63" s="2"/>
      <c r="J63" s="2"/>
      <c r="K63" s="0" t="s">
        <v>230</v>
      </c>
      <c r="L63" s="0" t="s">
        <v>276</v>
      </c>
    </row>
    <row r="64">
      <c r="A64" s="0" t="s">
        <v>225</v>
      </c>
      <c r="B64" s="0" t="s">
        <v>255</v>
      </c>
      <c r="C64" s="0" t="s">
        <v>277</v>
      </c>
      <c r="D64" s="0" t="s">
        <v>50</v>
      </c>
      <c r="E64" s="0" t="s">
        <v>278</v>
      </c>
      <c r="F64" s="0">
        <f>TEXT("643","#")</f>
      </c>
      <c r="G64" s="0">
        <v>36.22</v>
      </c>
      <c r="H64" s="0" t="s">
        <v>28</v>
      </c>
      <c r="I64" s="2"/>
      <c r="J64" s="2"/>
      <c r="K64" s="0" t="s">
        <v>279</v>
      </c>
      <c r="L64" s="0" t="s">
        <v>280</v>
      </c>
      <c r="M64" s="0" t="s">
        <v>281</v>
      </c>
    </row>
    <row r="65">
      <c r="A65" s="0" t="s">
        <v>225</v>
      </c>
      <c r="B65" s="0" t="s">
        <v>282</v>
      </c>
      <c r="C65" s="0" t="s">
        <v>283</v>
      </c>
      <c r="D65" s="0" t="s">
        <v>50</v>
      </c>
      <c r="E65" s="0" t="s">
        <v>284</v>
      </c>
      <c r="F65" s="0">
        <f>TEXT("197416","#")</f>
      </c>
      <c r="G65" s="0">
        <v>33.96</v>
      </c>
      <c r="H65" s="0" t="s">
        <v>28</v>
      </c>
      <c r="I65" s="2"/>
      <c r="J65" s="2"/>
      <c r="K65" s="0" t="s">
        <v>230</v>
      </c>
      <c r="L65" s="0" t="s">
        <v>285</v>
      </c>
    </row>
    <row r="66">
      <c r="A66" s="0" t="s">
        <v>225</v>
      </c>
      <c r="B66" s="0" t="s">
        <v>282</v>
      </c>
      <c r="C66" s="0" t="s">
        <v>286</v>
      </c>
      <c r="D66" s="0" t="s">
        <v>50</v>
      </c>
      <c r="E66" s="0" t="s">
        <v>228</v>
      </c>
      <c r="F66" s="0">
        <f>TEXT("49200","#")</f>
      </c>
      <c r="G66" s="0">
        <v>26.5</v>
      </c>
      <c r="H66" s="0" t="s">
        <v>28</v>
      </c>
      <c r="I66" s="2"/>
      <c r="J66" s="2"/>
      <c r="K66" s="0" t="s">
        <v>230</v>
      </c>
      <c r="L66" s="0" t="s">
        <v>287</v>
      </c>
    </row>
    <row r="67">
      <c r="A67" s="0" t="s">
        <v>225</v>
      </c>
      <c r="B67" s="0" t="s">
        <v>288</v>
      </c>
      <c r="C67" s="0" t="s">
        <v>289</v>
      </c>
      <c r="D67" s="0" t="s">
        <v>290</v>
      </c>
      <c r="E67" s="0" t="s">
        <v>291</v>
      </c>
      <c r="F67" s="0">
        <f>TEXT("193795","#")</f>
      </c>
      <c r="G67" s="0">
        <v>36.63</v>
      </c>
      <c r="H67" s="0" t="s">
        <v>28</v>
      </c>
      <c r="I67" s="2"/>
      <c r="J67" s="2"/>
      <c r="K67" s="0" t="s">
        <v>40</v>
      </c>
      <c r="L67" s="0" t="s">
        <v>292</v>
      </c>
    </row>
    <row r="68">
      <c r="A68" s="0" t="s">
        <v>225</v>
      </c>
      <c r="B68" s="0" t="s">
        <v>264</v>
      </c>
      <c r="C68" s="0" t="s">
        <v>293</v>
      </c>
      <c r="D68" s="0" t="s">
        <v>26</v>
      </c>
      <c r="E68" s="0" t="s">
        <v>266</v>
      </c>
      <c r="F68" s="0">
        <f>TEXT("171310","#")</f>
      </c>
      <c r="G68" s="0">
        <v>181.56</v>
      </c>
      <c r="H68" s="0" t="s">
        <v>19</v>
      </c>
      <c r="I68" s="2"/>
      <c r="J68" s="2"/>
      <c r="K68" s="0" t="s">
        <v>230</v>
      </c>
      <c r="L68" s="0" t="s">
        <v>267</v>
      </c>
    </row>
    <row r="69">
      <c r="A69" s="0" t="s">
        <v>225</v>
      </c>
      <c r="B69" s="0" t="s">
        <v>288</v>
      </c>
      <c r="C69" s="0" t="s">
        <v>294</v>
      </c>
      <c r="D69" s="0" t="s">
        <v>233</v>
      </c>
      <c r="E69" s="0" t="s">
        <v>228</v>
      </c>
      <c r="F69" s="0">
        <f>TEXT("218662","#")</f>
      </c>
      <c r="G69" s="0">
        <v>22.38</v>
      </c>
      <c r="H69" s="0" t="s">
        <v>28</v>
      </c>
      <c r="I69" s="2"/>
      <c r="J69" s="2"/>
      <c r="K69" s="0" t="s">
        <v>230</v>
      </c>
      <c r="L69" s="0" t="s">
        <v>276</v>
      </c>
    </row>
    <row r="70">
      <c r="A70" s="0" t="s">
        <v>225</v>
      </c>
      <c r="B70" s="0" t="s">
        <v>295</v>
      </c>
      <c r="C70" s="0" t="s">
        <v>296</v>
      </c>
      <c r="D70" s="0" t="s">
        <v>139</v>
      </c>
      <c r="E70" s="0" t="s">
        <v>297</v>
      </c>
      <c r="F70" s="0">
        <f>TEXT("167469","#")</f>
      </c>
      <c r="G70" s="0">
        <v>22.12</v>
      </c>
      <c r="H70" s="0" t="s">
        <v>52</v>
      </c>
      <c r="I70" s="2"/>
      <c r="J70" s="2"/>
      <c r="K70" s="0" t="s">
        <v>279</v>
      </c>
      <c r="L70" s="0" t="s">
        <v>298</v>
      </c>
      <c r="N70" s="0" t="s">
        <v>299</v>
      </c>
    </row>
    <row r="71">
      <c r="A71" s="0" t="s">
        <v>225</v>
      </c>
      <c r="B71" s="0" t="s">
        <v>295</v>
      </c>
      <c r="C71" s="0" t="s">
        <v>300</v>
      </c>
      <c r="D71" s="0" t="s">
        <v>301</v>
      </c>
      <c r="E71" s="0" t="s">
        <v>228</v>
      </c>
      <c r="F71" s="0">
        <f>TEXT("144595","#")</f>
      </c>
      <c r="G71" s="0">
        <v>44.36</v>
      </c>
      <c r="H71" s="0" t="s">
        <v>259</v>
      </c>
      <c r="I71" s="2"/>
      <c r="J71" s="2"/>
      <c r="K71" s="0" t="s">
        <v>230</v>
      </c>
      <c r="L71" s="0" t="s">
        <v>302</v>
      </c>
    </row>
    <row r="72">
      <c r="A72" s="0" t="s">
        <v>225</v>
      </c>
      <c r="B72" s="0" t="s">
        <v>295</v>
      </c>
      <c r="C72" s="0" t="s">
        <v>303</v>
      </c>
      <c r="D72" s="0" t="s">
        <v>139</v>
      </c>
      <c r="E72" s="0" t="s">
        <v>297</v>
      </c>
      <c r="F72" s="0">
        <f>TEXT("222172","#")</f>
      </c>
      <c r="G72" s="0">
        <v>17.44</v>
      </c>
      <c r="H72" s="0" t="s">
        <v>140</v>
      </c>
      <c r="I72" s="2"/>
      <c r="J72" s="2"/>
      <c r="L72" s="0" t="s">
        <v>304</v>
      </c>
      <c r="N72" s="0" t="s">
        <v>305</v>
      </c>
    </row>
    <row r="73">
      <c r="A73" s="0" t="s">
        <v>225</v>
      </c>
      <c r="B73" s="0" t="s">
        <v>306</v>
      </c>
      <c r="C73" s="0" t="s">
        <v>307</v>
      </c>
      <c r="D73" s="0" t="s">
        <v>45</v>
      </c>
      <c r="E73" s="0" t="s">
        <v>308</v>
      </c>
      <c r="F73" s="0">
        <f>TEXT("104756","#")</f>
      </c>
      <c r="G73" s="0">
        <v>25.55</v>
      </c>
      <c r="H73" s="0" t="s">
        <v>309</v>
      </c>
      <c r="I73" s="2"/>
      <c r="J73" s="2"/>
      <c r="K73" s="0" t="s">
        <v>230</v>
      </c>
      <c r="L73" s="0" t="s">
        <v>235</v>
      </c>
    </row>
    <row r="74">
      <c r="A74" s="0" t="s">
        <v>310</v>
      </c>
      <c r="B74" s="0" t="s">
        <v>311</v>
      </c>
      <c r="C74" s="0" t="s">
        <v>312</v>
      </c>
      <c r="D74" s="0" t="s">
        <v>313</v>
      </c>
      <c r="E74" s="0" t="s">
        <v>154</v>
      </c>
      <c r="F74" s="0">
        <f>TEXT("225546","#")</f>
      </c>
      <c r="G74" s="0">
        <v>29.16</v>
      </c>
      <c r="H74" s="0" t="s">
        <v>155</v>
      </c>
      <c r="I74" s="2"/>
      <c r="J74" s="2"/>
      <c r="K74" s="0" t="s">
        <v>71</v>
      </c>
      <c r="L74" s="0" t="s">
        <v>314</v>
      </c>
      <c r="M74" s="0" t="s">
        <v>315</v>
      </c>
    </row>
    <row r="75">
      <c r="A75" s="0" t="s">
        <v>310</v>
      </c>
      <c r="B75" s="0" t="s">
        <v>316</v>
      </c>
      <c r="C75" s="0" t="s">
        <v>317</v>
      </c>
      <c r="D75" s="0" t="s">
        <v>318</v>
      </c>
      <c r="E75" s="0" t="s">
        <v>319</v>
      </c>
      <c r="F75" s="0">
        <f>TEXT("220071","#")</f>
      </c>
      <c r="G75" s="0">
        <v>55.57</v>
      </c>
      <c r="H75" s="0" t="s">
        <v>320</v>
      </c>
      <c r="I75" s="2"/>
      <c r="J75" s="2"/>
      <c r="K75" s="0" t="s">
        <v>321</v>
      </c>
      <c r="N75" s="0" t="s">
        <v>322</v>
      </c>
    </row>
    <row r="76">
      <c r="A76" s="0" t="s">
        <v>310</v>
      </c>
      <c r="B76" s="0" t="s">
        <v>316</v>
      </c>
      <c r="C76" s="0" t="s">
        <v>323</v>
      </c>
      <c r="D76" s="0" t="s">
        <v>324</v>
      </c>
      <c r="E76" s="0" t="s">
        <v>154</v>
      </c>
      <c r="F76" s="0">
        <f>TEXT("227368","#")</f>
      </c>
      <c r="G76" s="0">
        <v>34.96</v>
      </c>
      <c r="H76" s="0" t="s">
        <v>155</v>
      </c>
      <c r="I76" s="2"/>
      <c r="J76" s="2"/>
      <c r="K76" s="0" t="s">
        <v>325</v>
      </c>
      <c r="L76" s="0" t="s">
        <v>326</v>
      </c>
      <c r="M76" s="0" t="s">
        <v>327</v>
      </c>
    </row>
    <row r="77">
      <c r="A77" s="0" t="s">
        <v>310</v>
      </c>
      <c r="B77" s="0" t="s">
        <v>328</v>
      </c>
      <c r="C77" s="0" t="s">
        <v>329</v>
      </c>
      <c r="D77" s="0" t="s">
        <v>330</v>
      </c>
      <c r="E77" s="0" t="s">
        <v>154</v>
      </c>
      <c r="F77" s="0">
        <f>TEXT("225450","#")</f>
      </c>
      <c r="G77" s="0">
        <v>68.23</v>
      </c>
      <c r="H77" s="0" t="s">
        <v>320</v>
      </c>
      <c r="I77" s="2"/>
      <c r="J77" s="2"/>
      <c r="K77" s="0" t="s">
        <v>331</v>
      </c>
      <c r="L77" s="0" t="s">
        <v>332</v>
      </c>
      <c r="M77" s="0" t="s">
        <v>333</v>
      </c>
    </row>
    <row r="78">
      <c r="A78" s="0" t="s">
        <v>310</v>
      </c>
      <c r="B78" s="0" t="s">
        <v>334</v>
      </c>
      <c r="C78" s="0" t="s">
        <v>335</v>
      </c>
      <c r="D78" s="0" t="s">
        <v>336</v>
      </c>
      <c r="E78" s="0" t="s">
        <v>51</v>
      </c>
      <c r="F78" s="0">
        <f>TEXT("84646","#")</f>
      </c>
      <c r="G78" s="0">
        <v>47.45</v>
      </c>
      <c r="H78" s="0" t="s">
        <v>259</v>
      </c>
      <c r="I78" s="2"/>
      <c r="J78" s="2"/>
      <c r="K78" s="0" t="s">
        <v>337</v>
      </c>
      <c r="L78" s="0" t="s">
        <v>338</v>
      </c>
      <c r="M78" s="0" t="s">
        <v>67</v>
      </c>
    </row>
    <row r="79">
      <c r="A79" s="0" t="s">
        <v>310</v>
      </c>
      <c r="B79" s="0" t="s">
        <v>339</v>
      </c>
      <c r="C79" s="0" t="s">
        <v>340</v>
      </c>
      <c r="D79" s="0" t="s">
        <v>341</v>
      </c>
      <c r="E79" s="0" t="s">
        <v>154</v>
      </c>
      <c r="F79" s="0">
        <f>TEXT("167328","#")</f>
      </c>
      <c r="G79" s="0">
        <v>133.05</v>
      </c>
      <c r="H79" s="0" t="s">
        <v>19</v>
      </c>
      <c r="I79" s="2"/>
      <c r="J79" s="2"/>
      <c r="K79" s="0" t="s">
        <v>189</v>
      </c>
      <c r="L79" s="0" t="s">
        <v>190</v>
      </c>
    </row>
    <row r="80">
      <c r="A80" s="0" t="s">
        <v>310</v>
      </c>
      <c r="B80" s="0" t="s">
        <v>342</v>
      </c>
      <c r="C80" s="0" t="s">
        <v>343</v>
      </c>
      <c r="D80" s="0" t="s">
        <v>344</v>
      </c>
      <c r="E80" s="0" t="s">
        <v>154</v>
      </c>
      <c r="F80" s="0">
        <f>TEXT("120841","#")</f>
      </c>
      <c r="G80" s="0">
        <v>40.8</v>
      </c>
      <c r="H80" s="0" t="s">
        <v>155</v>
      </c>
      <c r="I80" s="2"/>
      <c r="J80" s="2"/>
      <c r="K80" s="0" t="s">
        <v>345</v>
      </c>
      <c r="L80" s="0" t="s">
        <v>346</v>
      </c>
      <c r="M80" s="0" t="s">
        <v>347</v>
      </c>
    </row>
    <row r="81">
      <c r="A81" s="0" t="s">
        <v>310</v>
      </c>
      <c r="B81" s="0" t="s">
        <v>348</v>
      </c>
      <c r="C81" s="0" t="s">
        <v>349</v>
      </c>
      <c r="D81" s="0" t="s">
        <v>350</v>
      </c>
      <c r="E81" s="0" t="s">
        <v>154</v>
      </c>
      <c r="F81" s="0">
        <f>TEXT("146180","#")</f>
      </c>
      <c r="G81" s="0">
        <v>31.76</v>
      </c>
      <c r="H81" s="0" t="s">
        <v>155</v>
      </c>
      <c r="I81" s="2"/>
      <c r="J81" s="2"/>
      <c r="K81" s="0" t="s">
        <v>71</v>
      </c>
      <c r="L81" s="0" t="s">
        <v>351</v>
      </c>
      <c r="M81" s="0" t="s">
        <v>352</v>
      </c>
      <c r="N81" s="0" t="s">
        <v>353</v>
      </c>
    </row>
    <row r="82">
      <c r="A82" s="0" t="s">
        <v>354</v>
      </c>
      <c r="B82" s="0" t="s">
        <v>355</v>
      </c>
      <c r="C82" s="0" t="s">
        <v>356</v>
      </c>
      <c r="D82" s="0" t="s">
        <v>357</v>
      </c>
      <c r="E82" s="0" t="s">
        <v>358</v>
      </c>
      <c r="F82" s="0">
        <f>TEXT("107453","#")</f>
      </c>
      <c r="G82" s="0">
        <v>94.3</v>
      </c>
      <c r="H82" s="0" t="s">
        <v>19</v>
      </c>
      <c r="I82" s="2"/>
      <c r="J82" s="2"/>
      <c r="K82" s="0" t="s">
        <v>359</v>
      </c>
      <c r="L82" s="0" t="s">
        <v>360</v>
      </c>
    </row>
    <row r="83">
      <c r="A83" s="0" t="s">
        <v>361</v>
      </c>
      <c r="B83" s="0" t="s">
        <v>362</v>
      </c>
      <c r="C83" s="0" t="s">
        <v>363</v>
      </c>
      <c r="D83" s="0" t="s">
        <v>215</v>
      </c>
      <c r="E83" s="0" t="s">
        <v>364</v>
      </c>
      <c r="F83" s="0">
        <f>TEXT("188789","#")</f>
      </c>
      <c r="G83" s="0">
        <v>32.68</v>
      </c>
      <c r="H83" s="0" t="s">
        <v>28</v>
      </c>
      <c r="I83" s="2"/>
      <c r="J83" s="2"/>
      <c r="K83" s="0" t="s">
        <v>365</v>
      </c>
      <c r="L83" s="0" t="s">
        <v>366</v>
      </c>
    </row>
    <row r="84">
      <c r="A84" s="0" t="s">
        <v>361</v>
      </c>
      <c r="B84" s="0" t="s">
        <v>367</v>
      </c>
      <c r="C84" s="0" t="s">
        <v>368</v>
      </c>
      <c r="D84" s="0" t="s">
        <v>26</v>
      </c>
      <c r="E84" s="0" t="s">
        <v>369</v>
      </c>
      <c r="F84" s="0">
        <f>TEXT("204020","#")</f>
      </c>
      <c r="G84" s="0">
        <v>13.1</v>
      </c>
      <c r="H84" s="0" t="s">
        <v>28</v>
      </c>
      <c r="I84" s="2"/>
      <c r="J84" s="2"/>
      <c r="K84" s="0" t="s">
        <v>370</v>
      </c>
      <c r="L84" s="0" t="s">
        <v>371</v>
      </c>
    </row>
    <row r="85">
      <c r="A85" s="0" t="s">
        <v>361</v>
      </c>
      <c r="B85" s="0" t="s">
        <v>372</v>
      </c>
      <c r="C85" s="0" t="s">
        <v>373</v>
      </c>
      <c r="D85" s="0" t="s">
        <v>26</v>
      </c>
      <c r="E85" s="0" t="s">
        <v>27</v>
      </c>
      <c r="F85" s="0">
        <f>TEXT("136341","#")</f>
      </c>
      <c r="G85" s="0">
        <v>19.53</v>
      </c>
      <c r="H85" s="0" t="s">
        <v>28</v>
      </c>
      <c r="I85" s="2"/>
      <c r="J85" s="2"/>
      <c r="K85" s="0" t="s">
        <v>97</v>
      </c>
      <c r="L85" s="0" t="s">
        <v>374</v>
      </c>
      <c r="N85" s="0" t="s">
        <v>375</v>
      </c>
    </row>
    <row r="86">
      <c r="A86" s="0" t="s">
        <v>361</v>
      </c>
      <c r="B86" s="0" t="s">
        <v>372</v>
      </c>
      <c r="C86" s="0" t="s">
        <v>376</v>
      </c>
      <c r="D86" s="0" t="s">
        <v>26</v>
      </c>
      <c r="E86" s="0" t="s">
        <v>377</v>
      </c>
      <c r="F86" s="0">
        <f>TEXT("124858","#")</f>
      </c>
      <c r="G86" s="0">
        <v>110.04</v>
      </c>
      <c r="H86" s="0" t="s">
        <v>19</v>
      </c>
      <c r="I86" s="2"/>
      <c r="J86" s="2"/>
      <c r="K86" s="0" t="s">
        <v>378</v>
      </c>
      <c r="L86" s="0" t="s">
        <v>379</v>
      </c>
      <c r="N86" s="0" t="s">
        <v>171</v>
      </c>
    </row>
    <row r="87">
      <c r="A87" s="0" t="s">
        <v>361</v>
      </c>
      <c r="B87" s="0" t="s">
        <v>372</v>
      </c>
      <c r="C87" s="0" t="s">
        <v>376</v>
      </c>
      <c r="D87" s="0" t="s">
        <v>26</v>
      </c>
      <c r="E87" s="0" t="s">
        <v>291</v>
      </c>
      <c r="F87" s="0">
        <f>TEXT("217492","#")</f>
      </c>
      <c r="G87" s="0">
        <v>116.1</v>
      </c>
      <c r="H87" s="0" t="s">
        <v>19</v>
      </c>
      <c r="I87" s="2"/>
      <c r="J87" s="2"/>
      <c r="K87" s="0" t="s">
        <v>176</v>
      </c>
      <c r="L87" s="0" t="s">
        <v>380</v>
      </c>
      <c r="M87" s="0" t="s">
        <v>381</v>
      </c>
    </row>
    <row r="88">
      <c r="A88" s="0" t="s">
        <v>361</v>
      </c>
      <c r="B88" s="0" t="s">
        <v>372</v>
      </c>
      <c r="C88" s="0" t="s">
        <v>382</v>
      </c>
      <c r="D88" s="0" t="s">
        <v>26</v>
      </c>
      <c r="E88" s="0" t="s">
        <v>291</v>
      </c>
      <c r="F88" s="0">
        <f>TEXT("210328","#")</f>
      </c>
      <c r="G88" s="0">
        <v>86.1</v>
      </c>
      <c r="H88" s="0" t="s">
        <v>19</v>
      </c>
      <c r="I88" s="2"/>
      <c r="J88" s="2"/>
      <c r="K88" s="0" t="s">
        <v>104</v>
      </c>
      <c r="L88" s="0" t="s">
        <v>383</v>
      </c>
      <c r="M88" s="0" t="s">
        <v>384</v>
      </c>
    </row>
    <row r="89">
      <c r="A89" s="0" t="s">
        <v>361</v>
      </c>
      <c r="B89" s="0" t="s">
        <v>372</v>
      </c>
      <c r="C89" s="0" t="s">
        <v>385</v>
      </c>
      <c r="D89" s="0" t="s">
        <v>386</v>
      </c>
      <c r="E89" s="0" t="s">
        <v>387</v>
      </c>
      <c r="F89" s="0">
        <f>TEXT("140671","#")</f>
      </c>
      <c r="G89" s="0">
        <v>18.19</v>
      </c>
      <c r="H89" s="0" t="s">
        <v>28</v>
      </c>
      <c r="I89" s="2"/>
      <c r="J89" s="2"/>
      <c r="K89" s="0" t="s">
        <v>388</v>
      </c>
      <c r="L89" s="0" t="s">
        <v>389</v>
      </c>
      <c r="N89" s="0" t="s">
        <v>390</v>
      </c>
    </row>
    <row r="90">
      <c r="A90" s="0" t="s">
        <v>361</v>
      </c>
      <c r="B90" s="0" t="s">
        <v>372</v>
      </c>
      <c r="C90" s="0" t="s">
        <v>391</v>
      </c>
      <c r="D90" s="0" t="s">
        <v>26</v>
      </c>
      <c r="E90" s="0" t="s">
        <v>387</v>
      </c>
      <c r="F90" s="0">
        <f>TEXT("185607","#")</f>
      </c>
      <c r="G90" s="0">
        <v>20.36</v>
      </c>
      <c r="H90" s="0" t="s">
        <v>28</v>
      </c>
      <c r="I90" s="2"/>
      <c r="J90" s="2"/>
      <c r="K90" s="0" t="s">
        <v>199</v>
      </c>
      <c r="L90" s="0" t="s">
        <v>392</v>
      </c>
      <c r="M90" s="0" t="s">
        <v>393</v>
      </c>
      <c r="N90" s="0" t="s">
        <v>353</v>
      </c>
    </row>
    <row r="91">
      <c r="A91" s="0" t="s">
        <v>361</v>
      </c>
      <c r="B91" s="0" t="s">
        <v>367</v>
      </c>
      <c r="C91" s="0" t="s">
        <v>394</v>
      </c>
      <c r="D91" s="0" t="s">
        <v>395</v>
      </c>
      <c r="E91" s="0" t="s">
        <v>396</v>
      </c>
      <c r="F91" s="0">
        <f>TEXT("219513","#")</f>
      </c>
      <c r="G91" s="0">
        <v>28.21</v>
      </c>
      <c r="H91" s="0" t="s">
        <v>28</v>
      </c>
      <c r="I91" s="2"/>
      <c r="J91" s="2"/>
      <c r="K91" s="0" t="s">
        <v>141</v>
      </c>
      <c r="L91" s="0" t="s">
        <v>142</v>
      </c>
    </row>
    <row r="92">
      <c r="A92" s="0" t="s">
        <v>397</v>
      </c>
      <c r="B92" s="0" t="s">
        <v>398</v>
      </c>
      <c r="C92" s="0" t="s">
        <v>399</v>
      </c>
      <c r="D92" s="0" t="s">
        <v>45</v>
      </c>
      <c r="E92" s="0" t="s">
        <v>400</v>
      </c>
      <c r="F92" s="0">
        <f>TEXT("194074","#")</f>
      </c>
      <c r="G92" s="0">
        <v>105.78</v>
      </c>
      <c r="H92" s="0" t="s">
        <v>19</v>
      </c>
      <c r="I92" s="2"/>
      <c r="J92" s="2"/>
      <c r="K92" s="0" t="s">
        <v>281</v>
      </c>
      <c r="L92" s="0" t="s">
        <v>401</v>
      </c>
      <c r="N92" s="0" t="s">
        <v>402</v>
      </c>
    </row>
    <row r="93">
      <c r="A93" s="0" t="s">
        <v>397</v>
      </c>
      <c r="B93" s="0" t="s">
        <v>398</v>
      </c>
      <c r="C93" s="0" t="s">
        <v>403</v>
      </c>
      <c r="D93" s="0" t="s">
        <v>45</v>
      </c>
      <c r="E93" s="0" t="s">
        <v>400</v>
      </c>
      <c r="F93" s="0">
        <f>TEXT("194075","#")</f>
      </c>
      <c r="G93" s="0">
        <v>105.78</v>
      </c>
      <c r="H93" s="0" t="s">
        <v>19</v>
      </c>
      <c r="I93" s="2"/>
      <c r="J93" s="2"/>
      <c r="K93" s="0" t="s">
        <v>281</v>
      </c>
      <c r="L93" s="0" t="s">
        <v>404</v>
      </c>
      <c r="N93" s="0" t="s">
        <v>405</v>
      </c>
    </row>
    <row r="94">
      <c r="A94" s="0" t="s">
        <v>406</v>
      </c>
      <c r="B94" s="0" t="s">
        <v>407</v>
      </c>
      <c r="C94" s="0" t="s">
        <v>408</v>
      </c>
      <c r="D94" s="0" t="s">
        <v>26</v>
      </c>
      <c r="E94" s="0" t="s">
        <v>27</v>
      </c>
      <c r="F94" s="0">
        <f>TEXT("87419","#")</f>
      </c>
      <c r="G94" s="0">
        <v>12.66</v>
      </c>
      <c r="H94" s="0" t="s">
        <v>36</v>
      </c>
      <c r="I94" s="2"/>
      <c r="J94" s="2"/>
      <c r="L94" s="0" t="s">
        <v>47</v>
      </c>
    </row>
    <row r="95">
      <c r="A95" s="0" t="s">
        <v>406</v>
      </c>
      <c r="B95" s="0" t="s">
        <v>409</v>
      </c>
      <c r="C95" s="0" t="s">
        <v>410</v>
      </c>
      <c r="D95" s="0" t="s">
        <v>411</v>
      </c>
      <c r="E95" s="0" t="s">
        <v>412</v>
      </c>
      <c r="F95" s="0">
        <f>TEXT("30147","#")</f>
      </c>
      <c r="G95" s="0">
        <v>3.95</v>
      </c>
      <c r="H95" s="0" t="s">
        <v>413</v>
      </c>
      <c r="I95" s="2"/>
      <c r="J95" s="2"/>
    </row>
    <row r="96">
      <c r="A96" s="0" t="s">
        <v>406</v>
      </c>
      <c r="B96" s="0" t="s">
        <v>407</v>
      </c>
      <c r="C96" s="0" t="s">
        <v>414</v>
      </c>
      <c r="D96" s="0" t="s">
        <v>26</v>
      </c>
      <c r="E96" s="0" t="s">
        <v>27</v>
      </c>
      <c r="F96" s="0">
        <f>TEXT("87140","#")</f>
      </c>
      <c r="G96" s="0">
        <v>110.8</v>
      </c>
      <c r="H96" s="0" t="s">
        <v>19</v>
      </c>
      <c r="I96" s="2"/>
      <c r="J96" s="2"/>
      <c r="L96" s="0" t="s">
        <v>415</v>
      </c>
    </row>
    <row r="97">
      <c r="A97" s="0" t="s">
        <v>416</v>
      </c>
      <c r="B97" s="0" t="s">
        <v>417</v>
      </c>
      <c r="C97" s="0" t="s">
        <v>418</v>
      </c>
      <c r="D97" s="0" t="s">
        <v>261</v>
      </c>
      <c r="E97" s="0" t="s">
        <v>419</v>
      </c>
      <c r="F97" s="0">
        <f>TEXT("8609","#")</f>
      </c>
      <c r="G97" s="0">
        <v>23.64</v>
      </c>
      <c r="H97" s="0" t="s">
        <v>320</v>
      </c>
      <c r="I97" s="2"/>
      <c r="J97" s="2"/>
      <c r="L97" s="0" t="s">
        <v>420</v>
      </c>
      <c r="N97" s="0" t="s">
        <v>421</v>
      </c>
    </row>
    <row r="98">
      <c r="A98" s="0" t="s">
        <v>416</v>
      </c>
      <c r="B98" s="0" t="s">
        <v>417</v>
      </c>
      <c r="C98" s="0" t="s">
        <v>422</v>
      </c>
      <c r="D98" s="0" t="s">
        <v>26</v>
      </c>
      <c r="E98" s="0" t="s">
        <v>27</v>
      </c>
      <c r="F98" s="0">
        <f>TEXT("55747","#")</f>
      </c>
      <c r="G98" s="0">
        <v>24.03</v>
      </c>
      <c r="H98" s="0" t="s">
        <v>28</v>
      </c>
      <c r="I98" s="2"/>
      <c r="J98" s="2"/>
      <c r="L98" s="0" t="s">
        <v>423</v>
      </c>
      <c r="M98" s="0" t="s">
        <v>424</v>
      </c>
    </row>
    <row r="99">
      <c r="A99" s="0" t="s">
        <v>416</v>
      </c>
      <c r="B99" s="0" t="s">
        <v>425</v>
      </c>
      <c r="C99" s="0" t="s">
        <v>426</v>
      </c>
      <c r="D99" s="0" t="s">
        <v>26</v>
      </c>
      <c r="E99" s="0" t="s">
        <v>27</v>
      </c>
      <c r="F99" s="0">
        <f>TEXT("87019","#")</f>
      </c>
      <c r="G99" s="0">
        <v>10.05</v>
      </c>
      <c r="H99" s="0" t="s">
        <v>309</v>
      </c>
      <c r="I99" s="2"/>
      <c r="J99" s="2"/>
      <c r="L99" s="0" t="s">
        <v>122</v>
      </c>
    </row>
    <row r="100">
      <c r="A100" s="0" t="s">
        <v>416</v>
      </c>
      <c r="B100" s="0" t="s">
        <v>417</v>
      </c>
      <c r="C100" s="0" t="s">
        <v>427</v>
      </c>
      <c r="D100" s="0" t="s">
        <v>26</v>
      </c>
      <c r="E100" s="0" t="s">
        <v>27</v>
      </c>
      <c r="F100" s="0">
        <f>TEXT("55752","#")</f>
      </c>
      <c r="G100" s="0">
        <v>16.68</v>
      </c>
      <c r="H100" s="0" t="s">
        <v>28</v>
      </c>
      <c r="I100" s="2"/>
      <c r="J100" s="2"/>
      <c r="L100" s="0" t="s">
        <v>88</v>
      </c>
      <c r="M100" s="0" t="s">
        <v>89</v>
      </c>
    </row>
    <row r="101">
      <c r="A101" s="0" t="s">
        <v>416</v>
      </c>
      <c r="B101" s="0" t="s">
        <v>428</v>
      </c>
      <c r="C101" s="0" t="s">
        <v>429</v>
      </c>
      <c r="D101" s="0" t="s">
        <v>430</v>
      </c>
      <c r="E101" s="0" t="s">
        <v>431</v>
      </c>
      <c r="F101" s="0">
        <f>TEXT("115125","#")</f>
      </c>
      <c r="G101" s="0">
        <v>4.47</v>
      </c>
      <c r="H101" s="0" t="s">
        <v>432</v>
      </c>
      <c r="I101" s="2"/>
      <c r="J101" s="2"/>
      <c r="K101" s="0" t="s">
        <v>433</v>
      </c>
      <c r="L101" s="0" t="s">
        <v>434</v>
      </c>
    </row>
    <row r="102">
      <c r="A102" s="0" t="s">
        <v>416</v>
      </c>
      <c r="B102" s="0" t="s">
        <v>417</v>
      </c>
      <c r="C102" s="0" t="s">
        <v>435</v>
      </c>
      <c r="D102" s="0" t="s">
        <v>436</v>
      </c>
      <c r="E102" s="0" t="s">
        <v>27</v>
      </c>
      <c r="F102" s="0">
        <f>TEXT("55765","#")</f>
      </c>
      <c r="G102" s="0">
        <v>12.22</v>
      </c>
      <c r="H102" s="0" t="s">
        <v>28</v>
      </c>
      <c r="I102" s="2"/>
      <c r="J102" s="2"/>
      <c r="L102" s="0" t="s">
        <v>37</v>
      </c>
    </row>
    <row r="103">
      <c r="A103" s="0" t="s">
        <v>416</v>
      </c>
      <c r="B103" s="0" t="s">
        <v>417</v>
      </c>
      <c r="C103" s="0" t="s">
        <v>437</v>
      </c>
      <c r="D103" s="0" t="s">
        <v>63</v>
      </c>
      <c r="E103" s="0" t="s">
        <v>87</v>
      </c>
      <c r="F103" s="0">
        <f>TEXT("152016","#")</f>
      </c>
      <c r="G103" s="0">
        <v>13.3</v>
      </c>
      <c r="H103" s="0" t="s">
        <v>28</v>
      </c>
      <c r="I103" s="2"/>
      <c r="J103" s="2"/>
      <c r="K103" s="0" t="s">
        <v>438</v>
      </c>
      <c r="L103" s="0" t="s">
        <v>439</v>
      </c>
    </row>
    <row r="104">
      <c r="A104" s="0" t="s">
        <v>416</v>
      </c>
      <c r="B104" s="0" t="s">
        <v>417</v>
      </c>
      <c r="C104" s="0" t="s">
        <v>440</v>
      </c>
      <c r="D104" s="0" t="s">
        <v>26</v>
      </c>
      <c r="E104" s="0" t="s">
        <v>27</v>
      </c>
      <c r="F104" s="0">
        <f>TEXT("55767","#")</f>
      </c>
      <c r="G104" s="0">
        <v>20.16</v>
      </c>
      <c r="H104" s="0" t="s">
        <v>28</v>
      </c>
      <c r="I104" s="2"/>
      <c r="J104" s="2"/>
      <c r="L104" s="0" t="s">
        <v>37</v>
      </c>
    </row>
    <row r="105">
      <c r="A105" s="0" t="s">
        <v>416</v>
      </c>
      <c r="B105" s="0" t="s">
        <v>441</v>
      </c>
      <c r="C105" s="0" t="s">
        <v>442</v>
      </c>
      <c r="D105" s="0" t="s">
        <v>26</v>
      </c>
      <c r="E105" s="0" t="s">
        <v>27</v>
      </c>
      <c r="F105" s="0">
        <f>TEXT("55775","#")</f>
      </c>
      <c r="G105" s="0">
        <v>19.1</v>
      </c>
      <c r="H105" s="0" t="s">
        <v>28</v>
      </c>
      <c r="I105" s="2"/>
      <c r="J105" s="2"/>
      <c r="K105" s="0" t="s">
        <v>443</v>
      </c>
      <c r="L105" s="0" t="s">
        <v>444</v>
      </c>
      <c r="M105" s="0" t="s">
        <v>445</v>
      </c>
    </row>
    <row r="106">
      <c r="A106" s="0" t="s">
        <v>416</v>
      </c>
      <c r="B106" s="0" t="s">
        <v>441</v>
      </c>
      <c r="C106" s="0" t="s">
        <v>446</v>
      </c>
      <c r="D106" s="0" t="s">
        <v>447</v>
      </c>
      <c r="E106" s="0" t="s">
        <v>448</v>
      </c>
      <c r="F106" s="0">
        <f>TEXT("13704","#")</f>
      </c>
      <c r="G106" s="0">
        <v>11.62</v>
      </c>
      <c r="H106" s="0" t="s">
        <v>432</v>
      </c>
      <c r="I106" s="2"/>
      <c r="J106" s="2"/>
      <c r="L106" s="0" t="s">
        <v>449</v>
      </c>
    </row>
    <row r="107">
      <c r="A107" s="0" t="s">
        <v>416</v>
      </c>
      <c r="B107" s="0" t="s">
        <v>450</v>
      </c>
      <c r="C107" s="0" t="s">
        <v>451</v>
      </c>
      <c r="D107" s="0" t="s">
        <v>34</v>
      </c>
      <c r="E107" s="0" t="s">
        <v>419</v>
      </c>
      <c r="F107" s="0">
        <f>TEXT("87152","#")</f>
      </c>
      <c r="G107" s="0">
        <v>64.73</v>
      </c>
      <c r="H107" s="0" t="s">
        <v>259</v>
      </c>
      <c r="I107" s="2"/>
      <c r="J107" s="2"/>
      <c r="K107" s="0" t="s">
        <v>443</v>
      </c>
      <c r="L107" s="0" t="s">
        <v>452</v>
      </c>
    </row>
    <row r="108">
      <c r="A108" s="0" t="s">
        <v>416</v>
      </c>
      <c r="B108" s="0" t="s">
        <v>450</v>
      </c>
      <c r="C108" s="0" t="s">
        <v>453</v>
      </c>
      <c r="D108" s="0" t="s">
        <v>26</v>
      </c>
      <c r="E108" s="0" t="s">
        <v>454</v>
      </c>
      <c r="F108" s="0">
        <f>TEXT("160859","#")</f>
      </c>
      <c r="G108" s="0">
        <v>30.04</v>
      </c>
      <c r="H108" s="0" t="s">
        <v>28</v>
      </c>
      <c r="I108" s="2"/>
      <c r="J108" s="2"/>
      <c r="L108" s="0" t="s">
        <v>455</v>
      </c>
    </row>
    <row r="109">
      <c r="A109" s="0" t="s">
        <v>416</v>
      </c>
      <c r="B109" s="0" t="s">
        <v>456</v>
      </c>
      <c r="C109" s="0" t="s">
        <v>457</v>
      </c>
      <c r="D109" s="0" t="s">
        <v>458</v>
      </c>
      <c r="E109" s="0" t="s">
        <v>419</v>
      </c>
      <c r="F109" s="0">
        <f>TEXT("144639","#")</f>
      </c>
      <c r="G109" s="0">
        <v>18.03</v>
      </c>
      <c r="H109" s="0" t="s">
        <v>413</v>
      </c>
      <c r="I109" s="2"/>
      <c r="J109" s="2"/>
    </row>
    <row r="110">
      <c r="A110" s="0" t="s">
        <v>416</v>
      </c>
      <c r="B110" s="0" t="s">
        <v>456</v>
      </c>
      <c r="C110" s="0" t="s">
        <v>459</v>
      </c>
      <c r="D110" s="0" t="s">
        <v>460</v>
      </c>
      <c r="E110" s="0" t="s">
        <v>431</v>
      </c>
      <c r="F110" s="0">
        <f>TEXT("11489","#")</f>
      </c>
      <c r="G110" s="0">
        <v>27.75</v>
      </c>
      <c r="H110" s="0" t="s">
        <v>413</v>
      </c>
      <c r="I110" s="2"/>
      <c r="J110" s="2"/>
      <c r="L110" s="0" t="s">
        <v>47</v>
      </c>
    </row>
    <row r="111">
      <c r="A111" s="0" t="s">
        <v>461</v>
      </c>
      <c r="B111" s="0" t="s">
        <v>462</v>
      </c>
      <c r="C111" s="0" t="s">
        <v>463</v>
      </c>
      <c r="D111" s="0" t="s">
        <v>301</v>
      </c>
      <c r="E111" s="0" t="s">
        <v>464</v>
      </c>
      <c r="F111" s="0">
        <f>TEXT("192789","#")</f>
      </c>
      <c r="G111" s="0">
        <v>39.59</v>
      </c>
      <c r="H111" s="0" t="s">
        <v>52</v>
      </c>
      <c r="I111" s="2"/>
      <c r="J111" s="2"/>
      <c r="K111" s="0" t="s">
        <v>465</v>
      </c>
      <c r="L111" s="0" t="s">
        <v>466</v>
      </c>
      <c r="M111" s="0" t="s">
        <v>467</v>
      </c>
      <c r="N111" s="0" t="s">
        <v>468</v>
      </c>
    </row>
    <row r="112">
      <c r="A112" s="0" t="s">
        <v>461</v>
      </c>
      <c r="B112" s="0" t="s">
        <v>469</v>
      </c>
      <c r="C112" s="0" t="s">
        <v>470</v>
      </c>
      <c r="D112" s="0" t="s">
        <v>301</v>
      </c>
      <c r="E112" s="0" t="s">
        <v>464</v>
      </c>
      <c r="F112" s="0">
        <f>TEXT("37963","#")</f>
      </c>
      <c r="G112" s="0">
        <v>42.73</v>
      </c>
      <c r="H112" s="0" t="s">
        <v>155</v>
      </c>
      <c r="I112" s="2"/>
      <c r="J112" s="2"/>
      <c r="K112" s="0" t="s">
        <v>471</v>
      </c>
      <c r="L112" s="0" t="s">
        <v>472</v>
      </c>
      <c r="M112" s="0" t="s">
        <v>473</v>
      </c>
    </row>
    <row r="113">
      <c r="A113" s="0" t="s">
        <v>474</v>
      </c>
      <c r="B113" s="0" t="s">
        <v>475</v>
      </c>
      <c r="C113" s="0" t="s">
        <v>476</v>
      </c>
      <c r="D113" s="0" t="s">
        <v>477</v>
      </c>
      <c r="E113" s="0" t="s">
        <v>448</v>
      </c>
      <c r="F113" s="0">
        <f>TEXT("218454","#")</f>
      </c>
      <c r="G113" s="0">
        <v>20.35</v>
      </c>
      <c r="H113" s="0" t="s">
        <v>413</v>
      </c>
      <c r="I113" s="2"/>
      <c r="J113" s="2"/>
      <c r="L113" s="0" t="s">
        <v>449</v>
      </c>
    </row>
    <row r="114">
      <c r="A114" s="0" t="s">
        <v>474</v>
      </c>
      <c r="B114" s="0" t="s">
        <v>478</v>
      </c>
      <c r="C114" s="0" t="s">
        <v>479</v>
      </c>
      <c r="D114" s="0" t="s">
        <v>26</v>
      </c>
      <c r="E114" s="0" t="s">
        <v>480</v>
      </c>
      <c r="F114" s="0">
        <f>TEXT("147957","#")</f>
      </c>
      <c r="G114" s="0">
        <v>39.33</v>
      </c>
      <c r="H114" s="0" t="s">
        <v>28</v>
      </c>
      <c r="I114" s="2"/>
      <c r="J114" s="2"/>
      <c r="K114" s="0" t="s">
        <v>230</v>
      </c>
      <c r="L114" s="0" t="s">
        <v>481</v>
      </c>
      <c r="M114" s="0" t="s">
        <v>482</v>
      </c>
      <c r="N114" s="0" t="s">
        <v>483</v>
      </c>
    </row>
    <row r="115">
      <c r="A115" s="0" t="s">
        <v>474</v>
      </c>
      <c r="B115" s="0" t="s">
        <v>475</v>
      </c>
      <c r="C115" s="0" t="s">
        <v>484</v>
      </c>
      <c r="D115" s="0" t="s">
        <v>139</v>
      </c>
      <c r="E115" s="0" t="s">
        <v>46</v>
      </c>
      <c r="F115" s="0">
        <f>TEXT("168812","#")</f>
      </c>
      <c r="G115" s="0">
        <v>11.75</v>
      </c>
      <c r="H115" s="0" t="s">
        <v>140</v>
      </c>
      <c r="I115" s="2"/>
      <c r="J115" s="2"/>
      <c r="L115" s="0" t="s">
        <v>485</v>
      </c>
    </row>
    <row r="116">
      <c r="A116" s="0" t="s">
        <v>474</v>
      </c>
      <c r="B116" s="0" t="s">
        <v>475</v>
      </c>
      <c r="C116" s="0" t="s">
        <v>486</v>
      </c>
      <c r="D116" s="0" t="s">
        <v>63</v>
      </c>
      <c r="E116" s="0" t="s">
        <v>419</v>
      </c>
      <c r="F116" s="0">
        <f>TEXT("170858","#")</f>
      </c>
      <c r="G116" s="0">
        <v>14.02</v>
      </c>
      <c r="H116" s="0" t="s">
        <v>487</v>
      </c>
      <c r="I116" s="2"/>
      <c r="J116" s="2"/>
      <c r="L116" s="0" t="s">
        <v>488</v>
      </c>
    </row>
    <row r="117">
      <c r="A117" s="0" t="s">
        <v>474</v>
      </c>
      <c r="B117" s="0" t="s">
        <v>475</v>
      </c>
      <c r="C117" s="0" t="s">
        <v>489</v>
      </c>
      <c r="D117" s="0" t="s">
        <v>490</v>
      </c>
      <c r="E117" s="0" t="s">
        <v>209</v>
      </c>
      <c r="F117" s="0">
        <f>TEXT("226487","#")</f>
      </c>
      <c r="G117" s="0">
        <v>49.06</v>
      </c>
      <c r="H117" s="0" t="s">
        <v>19</v>
      </c>
      <c r="I117" s="2"/>
      <c r="J117" s="2"/>
    </row>
    <row r="118">
      <c r="A118" s="0" t="s">
        <v>491</v>
      </c>
      <c r="B118" s="0" t="s">
        <v>492</v>
      </c>
      <c r="C118" s="0" t="s">
        <v>493</v>
      </c>
      <c r="D118" s="0" t="s">
        <v>50</v>
      </c>
      <c r="E118" s="0" t="s">
        <v>121</v>
      </c>
      <c r="F118" s="0">
        <f>TEXT("223071","#")</f>
      </c>
      <c r="G118" s="0">
        <v>43.2</v>
      </c>
      <c r="H118" s="0" t="s">
        <v>28</v>
      </c>
      <c r="I118" s="2"/>
      <c r="J118" s="2"/>
      <c r="L118" s="0" t="s">
        <v>494</v>
      </c>
    </row>
    <row r="119">
      <c r="A119" s="0" t="s">
        <v>495</v>
      </c>
      <c r="B119" s="0" t="s">
        <v>496</v>
      </c>
      <c r="C119" s="0" t="s">
        <v>497</v>
      </c>
      <c r="D119" s="0" t="s">
        <v>498</v>
      </c>
      <c r="E119" s="0" t="s">
        <v>499</v>
      </c>
      <c r="F119" s="0">
        <f>TEXT("223382","#")</f>
      </c>
      <c r="G119" s="0">
        <v>44.56</v>
      </c>
      <c r="H119" s="0" t="s">
        <v>19</v>
      </c>
      <c r="I119" s="2"/>
      <c r="J119" s="2"/>
    </row>
    <row r="120">
      <c r="A120" s="0" t="s">
        <v>495</v>
      </c>
      <c r="B120" s="0" t="s">
        <v>500</v>
      </c>
      <c r="C120" s="0" t="s">
        <v>501</v>
      </c>
      <c r="D120" s="0" t="s">
        <v>498</v>
      </c>
      <c r="E120" s="0" t="s">
        <v>27</v>
      </c>
      <c r="F120" s="0">
        <f>TEXT("189846","#")</f>
      </c>
      <c r="G120" s="0">
        <v>49.3</v>
      </c>
      <c r="H120" s="0" t="s">
        <v>19</v>
      </c>
      <c r="I120" s="2"/>
      <c r="J120" s="2"/>
    </row>
    <row r="121">
      <c r="A121" s="0" t="s">
        <v>495</v>
      </c>
      <c r="B121" s="0" t="s">
        <v>502</v>
      </c>
      <c r="C121" s="0" t="s">
        <v>503</v>
      </c>
      <c r="D121" s="0" t="s">
        <v>320</v>
      </c>
      <c r="E121" s="0" t="s">
        <v>504</v>
      </c>
      <c r="F121" s="0">
        <f>TEXT("121562","#")</f>
      </c>
      <c r="G121" s="0">
        <v>3.77</v>
      </c>
      <c r="H121" s="0" t="s">
        <v>320</v>
      </c>
      <c r="I121" s="2"/>
      <c r="J121" s="2"/>
    </row>
    <row r="122">
      <c r="A122" s="0" t="s">
        <v>495</v>
      </c>
      <c r="B122" s="0" t="s">
        <v>502</v>
      </c>
      <c r="C122" s="0" t="s">
        <v>505</v>
      </c>
      <c r="D122" s="0" t="s">
        <v>320</v>
      </c>
      <c r="E122" s="0" t="s">
        <v>504</v>
      </c>
      <c r="F122" s="0">
        <f>TEXT("121563","#")</f>
      </c>
      <c r="G122" s="0">
        <v>3.77</v>
      </c>
      <c r="H122" s="0" t="s">
        <v>320</v>
      </c>
      <c r="I122" s="2"/>
      <c r="J122" s="2"/>
    </row>
    <row r="123">
      <c r="A123" s="0" t="s">
        <v>506</v>
      </c>
      <c r="B123" s="0" t="s">
        <v>507</v>
      </c>
      <c r="C123" s="0" t="s">
        <v>508</v>
      </c>
      <c r="D123" s="0" t="s">
        <v>509</v>
      </c>
      <c r="E123" s="0" t="s">
        <v>510</v>
      </c>
      <c r="F123" s="0">
        <f>TEXT("108943","#")</f>
      </c>
      <c r="G123" s="0">
        <v>65.46</v>
      </c>
      <c r="H123" s="0" t="s">
        <v>413</v>
      </c>
      <c r="I123" s="2"/>
      <c r="J123" s="2"/>
      <c r="L123" s="0" t="s">
        <v>511</v>
      </c>
    </row>
    <row r="124">
      <c r="A124" s="0" t="s">
        <v>506</v>
      </c>
      <c r="B124" s="0" t="s">
        <v>512</v>
      </c>
      <c r="C124" s="0" t="s">
        <v>513</v>
      </c>
      <c r="D124" s="0" t="s">
        <v>509</v>
      </c>
      <c r="E124" s="0" t="s">
        <v>514</v>
      </c>
      <c r="F124" s="0">
        <f>TEXT("180","#")</f>
      </c>
      <c r="G124" s="0">
        <v>127.51</v>
      </c>
      <c r="H124" s="0" t="s">
        <v>515</v>
      </c>
      <c r="I124" s="2"/>
      <c r="J124" s="2"/>
      <c r="L124" s="0" t="s">
        <v>37</v>
      </c>
    </row>
    <row r="125">
      <c r="A125" s="0" t="s">
        <v>506</v>
      </c>
      <c r="B125" s="0" t="s">
        <v>512</v>
      </c>
      <c r="C125" s="0" t="s">
        <v>516</v>
      </c>
      <c r="D125" s="0" t="s">
        <v>517</v>
      </c>
      <c r="E125" s="0" t="s">
        <v>448</v>
      </c>
      <c r="F125" s="0">
        <f>TEXT("52757","#")</f>
      </c>
      <c r="G125" s="0">
        <v>54.96</v>
      </c>
      <c r="H125" s="0" t="s">
        <v>413</v>
      </c>
      <c r="I125" s="2"/>
      <c r="J125" s="2"/>
      <c r="L125" s="0" t="s">
        <v>47</v>
      </c>
    </row>
    <row r="126">
      <c r="A126" s="0" t="s">
        <v>506</v>
      </c>
      <c r="B126" s="0" t="s">
        <v>512</v>
      </c>
      <c r="C126" s="0" t="s">
        <v>516</v>
      </c>
      <c r="D126" s="0" t="s">
        <v>517</v>
      </c>
      <c r="E126" s="0" t="s">
        <v>275</v>
      </c>
      <c r="F126" s="0">
        <f>TEXT("59060","#")</f>
      </c>
      <c r="G126" s="0">
        <v>114.49</v>
      </c>
      <c r="H126" s="0" t="s">
        <v>487</v>
      </c>
      <c r="I126" s="2"/>
      <c r="J126" s="2"/>
      <c r="L126" s="0" t="s">
        <v>518</v>
      </c>
    </row>
    <row r="127">
      <c r="A127" s="0" t="s">
        <v>506</v>
      </c>
      <c r="B127" s="0" t="s">
        <v>519</v>
      </c>
      <c r="C127" s="0" t="s">
        <v>520</v>
      </c>
      <c r="D127" s="0" t="s">
        <v>509</v>
      </c>
      <c r="E127" s="0" t="s">
        <v>510</v>
      </c>
      <c r="F127" s="0">
        <f>TEXT("67826","#")</f>
      </c>
      <c r="G127" s="0">
        <v>65.46</v>
      </c>
      <c r="H127" s="0" t="s">
        <v>413</v>
      </c>
      <c r="I127" s="2"/>
      <c r="J127" s="2"/>
      <c r="K127" s="0" t="s">
        <v>67</v>
      </c>
      <c r="L127" s="0" t="s">
        <v>521</v>
      </c>
    </row>
    <row r="128">
      <c r="A128" s="0" t="s">
        <v>522</v>
      </c>
      <c r="B128" s="0" t="s">
        <v>523</v>
      </c>
      <c r="C128" s="0" t="s">
        <v>524</v>
      </c>
      <c r="D128" s="0" t="s">
        <v>525</v>
      </c>
      <c r="E128" s="0" t="s">
        <v>526</v>
      </c>
      <c r="F128" s="0">
        <f>TEXT("165985","#")</f>
      </c>
      <c r="G128" s="0">
        <v>240.26</v>
      </c>
      <c r="H128" s="0" t="s">
        <v>19</v>
      </c>
      <c r="I128" s="2"/>
      <c r="J128" s="2"/>
      <c r="K128" s="0" t="s">
        <v>527</v>
      </c>
      <c r="L128" s="0" t="s">
        <v>420</v>
      </c>
    </row>
    <row r="129">
      <c r="A129" s="0" t="s">
        <v>522</v>
      </c>
      <c r="B129" s="0" t="s">
        <v>523</v>
      </c>
      <c r="C129" s="0" t="s">
        <v>528</v>
      </c>
      <c r="D129" s="0" t="s">
        <v>525</v>
      </c>
      <c r="E129" s="0" t="s">
        <v>526</v>
      </c>
      <c r="F129" s="0">
        <f>TEXT("165984","#")</f>
      </c>
      <c r="G129" s="0">
        <v>225.81</v>
      </c>
      <c r="H129" s="0" t="s">
        <v>19</v>
      </c>
      <c r="I129" s="2"/>
      <c r="J129" s="2"/>
      <c r="K129" s="0" t="s">
        <v>527</v>
      </c>
      <c r="L129" s="0" t="s">
        <v>529</v>
      </c>
    </row>
    <row r="130">
      <c r="A130" s="0" t="s">
        <v>522</v>
      </c>
      <c r="B130" s="0" t="s">
        <v>523</v>
      </c>
      <c r="C130" s="0" t="s">
        <v>530</v>
      </c>
      <c r="D130" s="0" t="s">
        <v>531</v>
      </c>
      <c r="E130" s="0" t="s">
        <v>526</v>
      </c>
      <c r="F130" s="0">
        <f>TEXT("165983","#")</f>
      </c>
      <c r="G130" s="0">
        <v>165.57</v>
      </c>
      <c r="H130" s="0" t="s">
        <v>19</v>
      </c>
      <c r="I130" s="2"/>
      <c r="J130" s="2"/>
      <c r="K130" s="0" t="s">
        <v>532</v>
      </c>
      <c r="L130" s="0" t="s">
        <v>533</v>
      </c>
    </row>
    <row r="131">
      <c r="A131" s="0" t="s">
        <v>534</v>
      </c>
      <c r="B131" s="0" t="s">
        <v>535</v>
      </c>
      <c r="C131" s="0" t="s">
        <v>536</v>
      </c>
      <c r="D131" s="0" t="s">
        <v>537</v>
      </c>
      <c r="E131" s="0" t="s">
        <v>27</v>
      </c>
      <c r="F131" s="0">
        <f>TEXT("74938","#")</f>
      </c>
      <c r="G131" s="0">
        <v>30.01</v>
      </c>
      <c r="H131" s="0" t="s">
        <v>538</v>
      </c>
      <c r="I131" s="2"/>
      <c r="J131" s="2"/>
    </row>
    <row r="132">
      <c r="A132" s="0" t="s">
        <v>534</v>
      </c>
      <c r="B132" s="0" t="s">
        <v>539</v>
      </c>
      <c r="C132" s="0" t="s">
        <v>540</v>
      </c>
      <c r="D132" s="0" t="s">
        <v>541</v>
      </c>
      <c r="E132" s="0" t="s">
        <v>542</v>
      </c>
      <c r="F132" s="0">
        <f>TEXT("192466","#")</f>
      </c>
      <c r="G132" s="0">
        <v>23.26</v>
      </c>
      <c r="H132" s="0" t="s">
        <v>543</v>
      </c>
      <c r="I132" s="2"/>
      <c r="J132" s="2"/>
      <c r="L132" s="0" t="s">
        <v>511</v>
      </c>
    </row>
    <row r="133">
      <c r="A133" s="0" t="s">
        <v>534</v>
      </c>
      <c r="B133" s="0" t="s">
        <v>544</v>
      </c>
      <c r="C133" s="0" t="s">
        <v>545</v>
      </c>
      <c r="D133" s="0" t="s">
        <v>541</v>
      </c>
      <c r="E133" s="0" t="s">
        <v>546</v>
      </c>
      <c r="F133" s="0">
        <f>TEXT("20782","#")</f>
      </c>
      <c r="G133" s="0">
        <v>60.7</v>
      </c>
      <c r="H133" s="0" t="s">
        <v>19</v>
      </c>
      <c r="I133" s="2"/>
      <c r="J133" s="2"/>
    </row>
    <row r="134">
      <c r="A134" s="0" t="s">
        <v>534</v>
      </c>
      <c r="B134" s="0" t="s">
        <v>544</v>
      </c>
      <c r="C134" s="0" t="s">
        <v>547</v>
      </c>
      <c r="D134" s="0" t="s">
        <v>541</v>
      </c>
      <c r="E134" s="0" t="s">
        <v>27</v>
      </c>
      <c r="F134" s="0">
        <f>TEXT("196339","#")</f>
      </c>
      <c r="G134" s="0">
        <v>88.2</v>
      </c>
      <c r="H134" s="0" t="s">
        <v>19</v>
      </c>
      <c r="I134" s="2"/>
      <c r="J134" s="2"/>
    </row>
    <row r="135">
      <c r="A135" s="0" t="s">
        <v>534</v>
      </c>
      <c r="B135" s="0" t="s">
        <v>548</v>
      </c>
      <c r="C135" s="0" t="s">
        <v>549</v>
      </c>
      <c r="D135" s="0" t="s">
        <v>219</v>
      </c>
      <c r="E135" s="0" t="s">
        <v>550</v>
      </c>
      <c r="F135" s="0">
        <f>TEXT("189563","#")</f>
      </c>
      <c r="G135" s="0">
        <v>67.48</v>
      </c>
      <c r="H135" s="0" t="s">
        <v>19</v>
      </c>
      <c r="I135" s="2"/>
      <c r="J135" s="2"/>
    </row>
    <row r="136">
      <c r="A136" s="0" t="s">
        <v>534</v>
      </c>
      <c r="B136" s="0" t="s">
        <v>551</v>
      </c>
      <c r="C136" s="0" t="s">
        <v>552</v>
      </c>
      <c r="D136" s="0" t="s">
        <v>541</v>
      </c>
      <c r="E136" s="0" t="s">
        <v>27</v>
      </c>
      <c r="F136" s="0">
        <f>TEXT("196343","#")</f>
      </c>
      <c r="G136" s="0">
        <v>50.1</v>
      </c>
      <c r="H136" s="0" t="s">
        <v>19</v>
      </c>
      <c r="I136" s="2"/>
      <c r="J136" s="2"/>
    </row>
    <row r="137">
      <c r="A137" s="0" t="s">
        <v>534</v>
      </c>
      <c r="B137" s="0" t="s">
        <v>553</v>
      </c>
      <c r="C137" s="0" t="s">
        <v>554</v>
      </c>
      <c r="D137" s="0" t="s">
        <v>555</v>
      </c>
      <c r="E137" s="0" t="s">
        <v>499</v>
      </c>
      <c r="F137" s="0">
        <f>TEXT("51758","#")</f>
      </c>
      <c r="G137" s="0">
        <v>30.15</v>
      </c>
      <c r="H137" s="0" t="s">
        <v>538</v>
      </c>
      <c r="I137" s="2"/>
      <c r="J137" s="2"/>
    </row>
    <row r="138">
      <c r="A138" s="0" t="s">
        <v>534</v>
      </c>
      <c r="B138" s="0" t="s">
        <v>556</v>
      </c>
      <c r="C138" s="0" t="s">
        <v>557</v>
      </c>
      <c r="D138" s="0" t="s">
        <v>219</v>
      </c>
      <c r="E138" s="0" t="s">
        <v>558</v>
      </c>
      <c r="F138" s="0">
        <f>TEXT("88588","#")</f>
      </c>
      <c r="G138" s="0">
        <v>11.81</v>
      </c>
      <c r="H138" s="0" t="s">
        <v>559</v>
      </c>
      <c r="I138" s="2"/>
      <c r="J138" s="2"/>
    </row>
    <row r="139">
      <c r="A139" s="0" t="s">
        <v>560</v>
      </c>
      <c r="B139" s="0" t="s">
        <v>561</v>
      </c>
      <c r="C139" s="0" t="s">
        <v>562</v>
      </c>
      <c r="D139" s="0" t="s">
        <v>563</v>
      </c>
      <c r="E139" s="0" t="s">
        <v>564</v>
      </c>
      <c r="F139" s="0">
        <f>TEXT("194294","#")</f>
      </c>
      <c r="G139" s="0">
        <v>55.75</v>
      </c>
      <c r="H139" s="0" t="s">
        <v>19</v>
      </c>
      <c r="I139" s="2"/>
      <c r="J139" s="2"/>
      <c r="K139" s="0" t="s">
        <v>565</v>
      </c>
      <c r="L139" s="0" t="s">
        <v>566</v>
      </c>
      <c r="M139" s="0" t="s">
        <v>353</v>
      </c>
      <c r="N139" s="0" t="s">
        <v>567</v>
      </c>
    </row>
    <row r="140">
      <c r="A140" s="0" t="s">
        <v>560</v>
      </c>
      <c r="B140" s="0" t="s">
        <v>568</v>
      </c>
      <c r="C140" s="0" t="s">
        <v>569</v>
      </c>
      <c r="D140" s="0" t="s">
        <v>570</v>
      </c>
      <c r="E140" s="0" t="s">
        <v>571</v>
      </c>
      <c r="F140" s="0">
        <f>TEXT("140283","#")</f>
      </c>
      <c r="G140" s="0">
        <v>95</v>
      </c>
      <c r="H140" s="0" t="s">
        <v>19</v>
      </c>
      <c r="I140" s="2"/>
      <c r="J140" s="2"/>
      <c r="K140" s="0" t="s">
        <v>572</v>
      </c>
      <c r="L140" s="0" t="s">
        <v>573</v>
      </c>
    </row>
    <row r="141">
      <c r="A141" s="0" t="s">
        <v>560</v>
      </c>
      <c r="B141" s="0" t="s">
        <v>574</v>
      </c>
      <c r="C141" s="0" t="s">
        <v>575</v>
      </c>
      <c r="D141" s="0" t="s">
        <v>576</v>
      </c>
      <c r="E141" s="0" t="s">
        <v>18</v>
      </c>
      <c r="F141" s="0">
        <f>TEXT("195506","#")</f>
      </c>
      <c r="G141" s="0">
        <v>120.33</v>
      </c>
      <c r="H141" s="0" t="s">
        <v>19</v>
      </c>
      <c r="I141" s="2"/>
      <c r="J141" s="2"/>
      <c r="K141" s="0" t="s">
        <v>577</v>
      </c>
      <c r="L141" s="0" t="s">
        <v>578</v>
      </c>
      <c r="M141" s="0" t="s">
        <v>579</v>
      </c>
    </row>
    <row r="142">
      <c r="A142" s="0" t="s">
        <v>560</v>
      </c>
      <c r="B142" s="0" t="s">
        <v>580</v>
      </c>
      <c r="C142" s="0" t="s">
        <v>581</v>
      </c>
      <c r="D142" s="0" t="s">
        <v>582</v>
      </c>
      <c r="E142" s="0" t="s">
        <v>571</v>
      </c>
      <c r="F142" s="0">
        <f>TEXT("110353","#")</f>
      </c>
      <c r="G142" s="0">
        <v>41.16</v>
      </c>
      <c r="H142" s="0" t="s">
        <v>19</v>
      </c>
      <c r="I142" s="2"/>
      <c r="J142" s="2"/>
      <c r="K142" s="0" t="s">
        <v>20</v>
      </c>
      <c r="L142" s="0" t="s">
        <v>583</v>
      </c>
      <c r="M142" s="0" t="s">
        <v>171</v>
      </c>
    </row>
    <row r="143">
      <c r="A143" s="0" t="s">
        <v>560</v>
      </c>
      <c r="B143" s="0" t="s">
        <v>574</v>
      </c>
      <c r="C143" s="0" t="s">
        <v>584</v>
      </c>
      <c r="D143" s="0" t="s">
        <v>585</v>
      </c>
      <c r="E143" s="0" t="s">
        <v>162</v>
      </c>
      <c r="F143" s="0">
        <f>TEXT("149995","#")</f>
      </c>
      <c r="G143" s="0">
        <v>31.6</v>
      </c>
      <c r="H143" s="0" t="s">
        <v>155</v>
      </c>
      <c r="I143" s="2"/>
      <c r="J143" s="2"/>
      <c r="K143" s="0" t="s">
        <v>586</v>
      </c>
      <c r="L143" s="0" t="s">
        <v>587</v>
      </c>
    </row>
    <row r="144">
      <c r="A144" s="0" t="s">
        <v>560</v>
      </c>
      <c r="B144" s="0" t="s">
        <v>574</v>
      </c>
      <c r="C144" s="0" t="s">
        <v>588</v>
      </c>
      <c r="D144" s="0" t="s">
        <v>589</v>
      </c>
      <c r="E144" s="0" t="s">
        <v>18</v>
      </c>
      <c r="F144" s="0">
        <f>TEXT("145382","#")</f>
      </c>
      <c r="G144" s="0">
        <v>147.82</v>
      </c>
      <c r="H144" s="0" t="s">
        <v>19</v>
      </c>
      <c r="I144" s="2"/>
      <c r="J144" s="2"/>
      <c r="K144" s="0" t="s">
        <v>590</v>
      </c>
      <c r="L144" s="0" t="s">
        <v>591</v>
      </c>
      <c r="M144" s="0" t="s">
        <v>592</v>
      </c>
    </row>
    <row r="145">
      <c r="A145" s="0" t="s">
        <v>560</v>
      </c>
      <c r="B145" s="0" t="s">
        <v>580</v>
      </c>
      <c r="C145" s="0" t="s">
        <v>593</v>
      </c>
      <c r="D145" s="0" t="s">
        <v>563</v>
      </c>
      <c r="E145" s="0" t="s">
        <v>564</v>
      </c>
      <c r="F145" s="0">
        <f>TEXT("194293","#")</f>
      </c>
      <c r="G145" s="0">
        <v>55.75</v>
      </c>
      <c r="H145" s="0" t="s">
        <v>19</v>
      </c>
      <c r="I145" s="2"/>
      <c r="J145" s="2"/>
      <c r="K145" s="0" t="s">
        <v>594</v>
      </c>
      <c r="L145" s="0" t="s">
        <v>595</v>
      </c>
      <c r="M145" s="0" t="s">
        <v>353</v>
      </c>
      <c r="N145" s="0" t="s">
        <v>596</v>
      </c>
    </row>
    <row r="146">
      <c r="A146" s="0" t="s">
        <v>597</v>
      </c>
      <c r="B146" s="0" t="s">
        <v>598</v>
      </c>
      <c r="C146" s="0" t="s">
        <v>599</v>
      </c>
      <c r="D146" s="0" t="s">
        <v>447</v>
      </c>
      <c r="E146" s="0" t="s">
        <v>600</v>
      </c>
      <c r="F146" s="0">
        <f>TEXT("221012","#")</f>
      </c>
      <c r="G146" s="0">
        <v>13.44</v>
      </c>
      <c r="H146" s="0" t="s">
        <v>309</v>
      </c>
      <c r="I146" s="2"/>
      <c r="J146" s="2"/>
      <c r="K146" s="0" t="s">
        <v>189</v>
      </c>
      <c r="L146" s="0" t="s">
        <v>601</v>
      </c>
      <c r="M146" s="0" t="s">
        <v>602</v>
      </c>
    </row>
    <row r="147">
      <c r="A147" s="0" t="s">
        <v>597</v>
      </c>
      <c r="B147" s="0" t="s">
        <v>598</v>
      </c>
      <c r="C147" s="0" t="s">
        <v>603</v>
      </c>
      <c r="D147" s="0" t="s">
        <v>447</v>
      </c>
      <c r="E147" s="0" t="s">
        <v>600</v>
      </c>
      <c r="F147" s="0">
        <f>TEXT("221015","#")</f>
      </c>
      <c r="G147" s="0">
        <v>12.74</v>
      </c>
      <c r="H147" s="0" t="s">
        <v>309</v>
      </c>
      <c r="I147" s="2"/>
      <c r="J147" s="2"/>
      <c r="K147" s="0" t="s">
        <v>189</v>
      </c>
      <c r="L147" s="0" t="s">
        <v>604</v>
      </c>
      <c r="M147" s="0" t="s">
        <v>605</v>
      </c>
    </row>
    <row r="148">
      <c r="A148" s="0" t="s">
        <v>597</v>
      </c>
      <c r="B148" s="0" t="s">
        <v>598</v>
      </c>
      <c r="C148" s="0" t="s">
        <v>606</v>
      </c>
      <c r="D148" s="0" t="s">
        <v>26</v>
      </c>
      <c r="E148" s="0" t="s">
        <v>607</v>
      </c>
      <c r="F148" s="0">
        <f>TEXT("195005","#")</f>
      </c>
      <c r="G148" s="0">
        <v>18.44</v>
      </c>
      <c r="H148" s="0" t="s">
        <v>309</v>
      </c>
      <c r="I148" s="2"/>
      <c r="J148" s="2"/>
      <c r="K148" s="0" t="s">
        <v>171</v>
      </c>
      <c r="L148" s="0" t="s">
        <v>608</v>
      </c>
      <c r="M148" s="0" t="s">
        <v>67</v>
      </c>
    </row>
    <row r="149">
      <c r="A149" s="0" t="s">
        <v>597</v>
      </c>
      <c r="B149" s="0" t="s">
        <v>598</v>
      </c>
      <c r="C149" s="0" t="s">
        <v>609</v>
      </c>
      <c r="D149" s="0" t="s">
        <v>447</v>
      </c>
      <c r="E149" s="0" t="s">
        <v>600</v>
      </c>
      <c r="F149" s="0">
        <f>TEXT("221017","#")</f>
      </c>
      <c r="G149" s="0">
        <v>12.74</v>
      </c>
      <c r="H149" s="0" t="s">
        <v>309</v>
      </c>
      <c r="I149" s="2"/>
      <c r="J149" s="2"/>
      <c r="K149" s="0" t="s">
        <v>189</v>
      </c>
      <c r="L149" s="0" t="s">
        <v>610</v>
      </c>
      <c r="M149" s="0" t="s">
        <v>611</v>
      </c>
    </row>
    <row r="150">
      <c r="A150" s="0" t="s">
        <v>597</v>
      </c>
      <c r="B150" s="0" t="s">
        <v>598</v>
      </c>
      <c r="C150" s="0" t="s">
        <v>612</v>
      </c>
      <c r="D150" s="0" t="s">
        <v>447</v>
      </c>
      <c r="E150" s="0" t="s">
        <v>600</v>
      </c>
      <c r="F150" s="0">
        <f>TEXT("221018","#")</f>
      </c>
      <c r="G150" s="0">
        <v>9.69</v>
      </c>
      <c r="H150" s="0" t="s">
        <v>309</v>
      </c>
      <c r="I150" s="2"/>
      <c r="J150" s="2"/>
      <c r="K150" s="0" t="s">
        <v>230</v>
      </c>
      <c r="L150" s="0" t="s">
        <v>613</v>
      </c>
      <c r="M150" s="0" t="s">
        <v>614</v>
      </c>
    </row>
    <row r="151">
      <c r="A151" s="0" t="s">
        <v>597</v>
      </c>
      <c r="B151" s="0" t="s">
        <v>615</v>
      </c>
      <c r="C151" s="0" t="s">
        <v>616</v>
      </c>
      <c r="D151" s="0" t="s">
        <v>50</v>
      </c>
      <c r="E151" s="0" t="s">
        <v>607</v>
      </c>
      <c r="F151" s="0">
        <f>TEXT("125675","#")</f>
      </c>
      <c r="G151" s="0">
        <v>29.91</v>
      </c>
      <c r="H151" s="0" t="s">
        <v>309</v>
      </c>
      <c r="I151" s="2"/>
      <c r="J151" s="2"/>
      <c r="K151" s="0" t="s">
        <v>617</v>
      </c>
      <c r="L151" s="0" t="s">
        <v>618</v>
      </c>
    </row>
    <row r="152">
      <c r="A152" s="0" t="s">
        <v>597</v>
      </c>
      <c r="B152" s="0" t="s">
        <v>615</v>
      </c>
      <c r="C152" s="0" t="s">
        <v>619</v>
      </c>
      <c r="D152" s="0" t="s">
        <v>26</v>
      </c>
      <c r="E152" s="0" t="s">
        <v>600</v>
      </c>
      <c r="F152" s="0">
        <f>TEXT("210067","#")</f>
      </c>
      <c r="G152" s="0">
        <v>17.44</v>
      </c>
      <c r="H152" s="0" t="s">
        <v>52</v>
      </c>
      <c r="I152" s="2"/>
      <c r="J152" s="2"/>
      <c r="K152" s="0" t="s">
        <v>620</v>
      </c>
      <c r="L152" s="0" t="s">
        <v>621</v>
      </c>
      <c r="M152" s="0" t="s">
        <v>622</v>
      </c>
    </row>
    <row r="153">
      <c r="A153" s="0" t="s">
        <v>623</v>
      </c>
      <c r="B153" s="0" t="s">
        <v>624</v>
      </c>
      <c r="C153" s="0" t="s">
        <v>625</v>
      </c>
      <c r="D153" s="0" t="s">
        <v>116</v>
      </c>
      <c r="E153" s="0" t="s">
        <v>626</v>
      </c>
      <c r="F153" s="0">
        <f>TEXT("191678","#")</f>
      </c>
      <c r="G153" s="0">
        <v>11.88</v>
      </c>
      <c r="H153" s="0" t="s">
        <v>118</v>
      </c>
      <c r="I153" s="2"/>
      <c r="J153" s="2"/>
      <c r="L153" s="0" t="s">
        <v>494</v>
      </c>
    </row>
    <row r="154">
      <c r="A154" s="0" t="s">
        <v>627</v>
      </c>
      <c r="B154" s="0" t="s">
        <v>628</v>
      </c>
      <c r="C154" s="0" t="s">
        <v>629</v>
      </c>
      <c r="D154" s="0" t="s">
        <v>630</v>
      </c>
      <c r="E154" s="0" t="s">
        <v>291</v>
      </c>
      <c r="F154" s="0">
        <f>TEXT("214815","#")</f>
      </c>
      <c r="G154" s="0">
        <v>48.93</v>
      </c>
      <c r="H154" s="0" t="s">
        <v>19</v>
      </c>
      <c r="I154" s="2"/>
      <c r="J154" s="2"/>
      <c r="L154" s="0" t="s">
        <v>631</v>
      </c>
    </row>
    <row r="155">
      <c r="A155" s="0" t="s">
        <v>627</v>
      </c>
      <c r="B155" s="0" t="s">
        <v>632</v>
      </c>
      <c r="C155" s="0" t="s">
        <v>633</v>
      </c>
      <c r="D155" s="0" t="s">
        <v>318</v>
      </c>
      <c r="E155" s="0" t="s">
        <v>634</v>
      </c>
      <c r="F155" s="0">
        <f>TEXT("166872","#")</f>
      </c>
      <c r="G155" s="0">
        <v>38.84</v>
      </c>
      <c r="H155" s="0" t="s">
        <v>19</v>
      </c>
      <c r="I155" s="2"/>
      <c r="J155" s="2"/>
      <c r="L155" s="0" t="s">
        <v>37</v>
      </c>
    </row>
    <row r="156">
      <c r="A156" s="0" t="s">
        <v>627</v>
      </c>
      <c r="B156" s="0" t="s">
        <v>635</v>
      </c>
      <c r="C156" s="0" t="s">
        <v>636</v>
      </c>
      <c r="D156" s="0" t="s">
        <v>34</v>
      </c>
      <c r="E156" s="0" t="s">
        <v>46</v>
      </c>
      <c r="F156" s="0">
        <f>TEXT("212924","#")</f>
      </c>
      <c r="G156" s="0">
        <v>125.73</v>
      </c>
      <c r="H156" s="0" t="s">
        <v>36</v>
      </c>
      <c r="I156" s="2"/>
      <c r="J156" s="2"/>
      <c r="K156" s="0" t="s">
        <v>141</v>
      </c>
      <c r="L156" s="0" t="s">
        <v>637</v>
      </c>
      <c r="N156" s="0" t="s">
        <v>353</v>
      </c>
    </row>
    <row r="157">
      <c r="A157" s="0" t="s">
        <v>638</v>
      </c>
      <c r="B157" s="0" t="s">
        <v>639</v>
      </c>
      <c r="C157" s="0" t="s">
        <v>640</v>
      </c>
      <c r="D157" s="0" t="s">
        <v>50</v>
      </c>
      <c r="E157" s="0" t="s">
        <v>641</v>
      </c>
      <c r="F157" s="0">
        <f>TEXT("166016","#")</f>
      </c>
      <c r="G157" s="0">
        <v>150.36</v>
      </c>
      <c r="H157" s="0" t="s">
        <v>19</v>
      </c>
      <c r="I157" s="2"/>
      <c r="J157" s="2"/>
      <c r="L157" s="0" t="s">
        <v>494</v>
      </c>
    </row>
    <row r="158">
      <c r="A158" s="0" t="s">
        <v>642</v>
      </c>
      <c r="B158" s="0" t="s">
        <v>643</v>
      </c>
      <c r="C158" s="0" t="s">
        <v>644</v>
      </c>
      <c r="D158" s="0" t="s">
        <v>458</v>
      </c>
      <c r="E158" s="0" t="s">
        <v>400</v>
      </c>
      <c r="F158" s="0">
        <f>TEXT("181862","#")</f>
      </c>
      <c r="G158" s="0">
        <v>197.4</v>
      </c>
      <c r="H158" s="0" t="s">
        <v>19</v>
      </c>
      <c r="I158" s="2"/>
      <c r="J158" s="2"/>
      <c r="K158" s="0" t="s">
        <v>645</v>
      </c>
      <c r="L158" s="0" t="s">
        <v>646</v>
      </c>
    </row>
    <row r="159">
      <c r="A159" s="0" t="s">
        <v>642</v>
      </c>
      <c r="B159" s="0" t="s">
        <v>643</v>
      </c>
      <c r="C159" s="0" t="s">
        <v>647</v>
      </c>
      <c r="D159" s="0" t="s">
        <v>458</v>
      </c>
      <c r="E159" s="0" t="s">
        <v>400</v>
      </c>
      <c r="F159" s="0">
        <f>TEXT("181866","#")</f>
      </c>
      <c r="G159" s="0">
        <v>16.1</v>
      </c>
      <c r="H159" s="0" t="s">
        <v>28</v>
      </c>
      <c r="I159" s="2"/>
      <c r="J159" s="2"/>
      <c r="K159" s="0" t="s">
        <v>645</v>
      </c>
      <c r="L159" s="0" t="s">
        <v>648</v>
      </c>
    </row>
    <row r="160">
      <c r="A160" s="0" t="s">
        <v>642</v>
      </c>
      <c r="B160" s="0" t="s">
        <v>649</v>
      </c>
      <c r="C160" s="0" t="s">
        <v>650</v>
      </c>
      <c r="D160" s="0" t="s">
        <v>74</v>
      </c>
      <c r="E160" s="0" t="s">
        <v>651</v>
      </c>
      <c r="F160" s="0">
        <f>TEXT("196242","#")</f>
      </c>
      <c r="G160" s="0">
        <v>154.49</v>
      </c>
      <c r="H160" s="0" t="s">
        <v>19</v>
      </c>
      <c r="I160" s="2"/>
      <c r="J160" s="2"/>
      <c r="K160" s="0" t="s">
        <v>645</v>
      </c>
      <c r="L160" s="0" t="s">
        <v>652</v>
      </c>
    </row>
    <row r="161">
      <c r="A161" s="0" t="s">
        <v>653</v>
      </c>
      <c r="B161" s="0" t="s">
        <v>654</v>
      </c>
      <c r="C161" s="0" t="s">
        <v>655</v>
      </c>
      <c r="D161" s="0" t="s">
        <v>74</v>
      </c>
      <c r="E161" s="0" t="s">
        <v>162</v>
      </c>
      <c r="F161" s="0">
        <f>TEXT("170658","#")</f>
      </c>
      <c r="G161" s="0">
        <v>58.2</v>
      </c>
      <c r="H161" s="0" t="s">
        <v>320</v>
      </c>
      <c r="I161" s="2"/>
      <c r="J161" s="2"/>
      <c r="K161" s="0" t="s">
        <v>656</v>
      </c>
      <c r="L161" s="0" t="s">
        <v>657</v>
      </c>
    </row>
    <row r="162">
      <c r="A162" s="0" t="s">
        <v>658</v>
      </c>
      <c r="B162" s="0" t="s">
        <v>659</v>
      </c>
      <c r="C162" s="0" t="s">
        <v>659</v>
      </c>
      <c r="D162" s="0" t="s">
        <v>26</v>
      </c>
      <c r="E162" s="0" t="s">
        <v>27</v>
      </c>
      <c r="F162" s="0">
        <f>TEXT("65002","#")</f>
      </c>
      <c r="G162" s="0">
        <v>7.75</v>
      </c>
      <c r="H162" s="0" t="s">
        <v>28</v>
      </c>
      <c r="I162" s="2"/>
      <c r="J162" s="2"/>
      <c r="K162" s="0" t="s">
        <v>104</v>
      </c>
      <c r="L162" s="0" t="s">
        <v>105</v>
      </c>
    </row>
    <row r="163">
      <c r="A163" s="0" t="s">
        <v>658</v>
      </c>
      <c r="B163" s="0" t="s">
        <v>659</v>
      </c>
      <c r="C163" s="0" t="s">
        <v>660</v>
      </c>
      <c r="D163" s="0" t="s">
        <v>26</v>
      </c>
      <c r="E163" s="0" t="s">
        <v>87</v>
      </c>
      <c r="F163" s="0">
        <f>TEXT("149860","#")</f>
      </c>
      <c r="G163" s="0">
        <v>9.37</v>
      </c>
      <c r="H163" s="0" t="s">
        <v>28</v>
      </c>
      <c r="I163" s="2"/>
      <c r="J163" s="2"/>
      <c r="K163" s="0" t="s">
        <v>104</v>
      </c>
      <c r="L163" s="0" t="s">
        <v>661</v>
      </c>
      <c r="M163" s="0" t="s">
        <v>424</v>
      </c>
    </row>
    <row r="164">
      <c r="A164" s="0" t="s">
        <v>658</v>
      </c>
      <c r="B164" s="0" t="s">
        <v>662</v>
      </c>
      <c r="C164" s="0" t="s">
        <v>663</v>
      </c>
      <c r="D164" s="0" t="s">
        <v>45</v>
      </c>
      <c r="E164" s="0" t="s">
        <v>664</v>
      </c>
      <c r="F164" s="0">
        <f>TEXT("181516","#")</f>
      </c>
      <c r="G164" s="0">
        <v>24.55</v>
      </c>
      <c r="H164" s="0" t="s">
        <v>28</v>
      </c>
      <c r="I164" s="2"/>
      <c r="J164" s="2"/>
      <c r="L164" s="0" t="s">
        <v>37</v>
      </c>
    </row>
    <row r="165">
      <c r="A165" s="0" t="s">
        <v>665</v>
      </c>
      <c r="B165" s="0" t="s">
        <v>666</v>
      </c>
      <c r="C165" s="0" t="s">
        <v>667</v>
      </c>
      <c r="D165" s="0" t="s">
        <v>50</v>
      </c>
      <c r="E165" s="0" t="s">
        <v>668</v>
      </c>
      <c r="F165" s="0">
        <f>TEXT("167971","#")</f>
      </c>
      <c r="G165" s="0">
        <v>23.5</v>
      </c>
      <c r="H165" s="0" t="s">
        <v>309</v>
      </c>
      <c r="I165" s="2"/>
      <c r="J165" s="2"/>
      <c r="L165" s="0" t="s">
        <v>455</v>
      </c>
    </row>
    <row r="166">
      <c r="A166" s="0" t="s">
        <v>665</v>
      </c>
      <c r="B166" s="0" t="s">
        <v>669</v>
      </c>
      <c r="C166" s="0" t="s">
        <v>670</v>
      </c>
      <c r="D166" s="0" t="s">
        <v>671</v>
      </c>
      <c r="E166" s="0" t="s">
        <v>27</v>
      </c>
      <c r="F166" s="0">
        <f>TEXT("187764","#")</f>
      </c>
      <c r="G166" s="0">
        <v>59.73</v>
      </c>
      <c r="H166" s="0" t="s">
        <v>672</v>
      </c>
      <c r="I166" s="2"/>
      <c r="J166" s="2"/>
      <c r="K166" s="0" t="s">
        <v>141</v>
      </c>
      <c r="L166" s="0" t="s">
        <v>673</v>
      </c>
      <c r="M166" s="0" t="s">
        <v>189</v>
      </c>
    </row>
    <row r="167">
      <c r="A167" s="0" t="s">
        <v>665</v>
      </c>
      <c r="B167" s="0" t="s">
        <v>669</v>
      </c>
      <c r="C167" s="0" t="s">
        <v>674</v>
      </c>
      <c r="D167" s="0" t="s">
        <v>671</v>
      </c>
      <c r="E167" s="0" t="s">
        <v>27</v>
      </c>
      <c r="F167" s="0">
        <f>TEXT("187763","#")</f>
      </c>
      <c r="G167" s="0">
        <v>59.73</v>
      </c>
      <c r="H167" s="0" t="s">
        <v>672</v>
      </c>
      <c r="I167" s="2"/>
      <c r="J167" s="2"/>
      <c r="K167" s="0" t="s">
        <v>141</v>
      </c>
      <c r="L167" s="0" t="s">
        <v>673</v>
      </c>
      <c r="M167" s="0" t="s">
        <v>189</v>
      </c>
    </row>
    <row r="168">
      <c r="A168" s="0" t="s">
        <v>665</v>
      </c>
      <c r="B168" s="0" t="s">
        <v>675</v>
      </c>
      <c r="C168" s="0" t="s">
        <v>675</v>
      </c>
      <c r="D168" s="0" t="s">
        <v>26</v>
      </c>
      <c r="E168" s="0" t="s">
        <v>676</v>
      </c>
      <c r="F168" s="0">
        <f>TEXT("126952","#")</f>
      </c>
      <c r="G168" s="0">
        <v>13.64</v>
      </c>
      <c r="H168" s="0" t="s">
        <v>140</v>
      </c>
      <c r="I168" s="2"/>
      <c r="J168" s="2"/>
      <c r="K168" s="0" t="s">
        <v>677</v>
      </c>
      <c r="L168" s="0" t="s">
        <v>678</v>
      </c>
    </row>
    <row r="169">
      <c r="A169" s="0" t="s">
        <v>665</v>
      </c>
      <c r="B169" s="0" t="s">
        <v>679</v>
      </c>
      <c r="C169" s="0" t="s">
        <v>680</v>
      </c>
      <c r="D169" s="0" t="s">
        <v>681</v>
      </c>
      <c r="E169" s="0" t="s">
        <v>431</v>
      </c>
      <c r="F169" s="0">
        <f>TEXT("136408","#")</f>
      </c>
      <c r="G169" s="0">
        <v>31.91</v>
      </c>
      <c r="H169" s="0" t="s">
        <v>140</v>
      </c>
      <c r="I169" s="2"/>
      <c r="J169" s="2"/>
      <c r="K169" s="0" t="s">
        <v>388</v>
      </c>
      <c r="L169" s="0" t="s">
        <v>682</v>
      </c>
    </row>
    <row r="170">
      <c r="A170" s="0" t="s">
        <v>665</v>
      </c>
      <c r="B170" s="0" t="s">
        <v>679</v>
      </c>
      <c r="C170" s="0" t="s">
        <v>680</v>
      </c>
      <c r="D170" s="0" t="s">
        <v>144</v>
      </c>
      <c r="E170" s="0" t="s">
        <v>683</v>
      </c>
      <c r="F170" s="0">
        <f>TEXT("221216","#")</f>
      </c>
      <c r="G170" s="0">
        <v>10.24</v>
      </c>
      <c r="H170" s="0" t="s">
        <v>140</v>
      </c>
      <c r="I170" s="2"/>
      <c r="J170" s="2"/>
      <c r="K170" s="0" t="s">
        <v>189</v>
      </c>
      <c r="L170" s="0" t="s">
        <v>684</v>
      </c>
      <c r="M170" s="0" t="s">
        <v>685</v>
      </c>
      <c r="N170" s="0" t="s">
        <v>686</v>
      </c>
    </row>
    <row r="171">
      <c r="A171" s="0" t="s">
        <v>665</v>
      </c>
      <c r="B171" s="0" t="s">
        <v>679</v>
      </c>
      <c r="C171" s="0" t="s">
        <v>687</v>
      </c>
      <c r="D171" s="0" t="s">
        <v>144</v>
      </c>
      <c r="E171" s="0" t="s">
        <v>291</v>
      </c>
      <c r="F171" s="0">
        <f>TEXT("214798","#")</f>
      </c>
      <c r="G171" s="0">
        <v>11.66</v>
      </c>
      <c r="H171" s="0" t="s">
        <v>140</v>
      </c>
      <c r="I171" s="2"/>
      <c r="J171" s="2"/>
      <c r="K171" s="0" t="s">
        <v>189</v>
      </c>
      <c r="L171" s="0" t="s">
        <v>688</v>
      </c>
      <c r="M171" s="0" t="s">
        <v>689</v>
      </c>
    </row>
    <row r="172">
      <c r="A172" s="0" t="s">
        <v>665</v>
      </c>
      <c r="B172" s="0" t="s">
        <v>679</v>
      </c>
      <c r="C172" s="0" t="s">
        <v>690</v>
      </c>
      <c r="D172" s="0" t="s">
        <v>144</v>
      </c>
      <c r="E172" s="0" t="s">
        <v>291</v>
      </c>
      <c r="F172" s="0">
        <f>TEXT("214799","#")</f>
      </c>
      <c r="G172" s="0">
        <v>11.66</v>
      </c>
      <c r="H172" s="0" t="s">
        <v>140</v>
      </c>
      <c r="I172" s="2"/>
      <c r="J172" s="2"/>
      <c r="K172" s="0" t="s">
        <v>691</v>
      </c>
      <c r="L172" s="0" t="s">
        <v>692</v>
      </c>
      <c r="M172" s="0" t="s">
        <v>605</v>
      </c>
    </row>
    <row r="173">
      <c r="A173" s="0" t="s">
        <v>665</v>
      </c>
      <c r="B173" s="0" t="s">
        <v>675</v>
      </c>
      <c r="C173" s="0" t="s">
        <v>693</v>
      </c>
      <c r="D173" s="0" t="s">
        <v>694</v>
      </c>
      <c r="E173" s="0" t="s">
        <v>695</v>
      </c>
      <c r="F173" s="0">
        <f>TEXT("167250","#")</f>
      </c>
      <c r="G173" s="0">
        <v>18.26</v>
      </c>
      <c r="H173" s="0" t="s">
        <v>432</v>
      </c>
      <c r="I173" s="2"/>
      <c r="J173" s="2"/>
      <c r="K173" s="0" t="s">
        <v>388</v>
      </c>
      <c r="L173" s="0" t="s">
        <v>696</v>
      </c>
      <c r="M173" s="0" t="s">
        <v>697</v>
      </c>
      <c r="N173" s="0" t="s">
        <v>698</v>
      </c>
    </row>
    <row r="174">
      <c r="A174" s="0" t="s">
        <v>665</v>
      </c>
      <c r="B174" s="0" t="s">
        <v>675</v>
      </c>
      <c r="C174" s="0" t="s">
        <v>699</v>
      </c>
      <c r="D174" s="0" t="s">
        <v>144</v>
      </c>
      <c r="E174" s="0" t="s">
        <v>291</v>
      </c>
      <c r="F174" s="0">
        <f>TEXT("214801","#")</f>
      </c>
      <c r="G174" s="0">
        <v>11.82</v>
      </c>
      <c r="H174" s="0" t="s">
        <v>140</v>
      </c>
      <c r="I174" s="2"/>
      <c r="J174" s="2"/>
      <c r="K174" s="0" t="s">
        <v>700</v>
      </c>
      <c r="L174" s="0" t="s">
        <v>692</v>
      </c>
      <c r="M174" s="0" t="s">
        <v>689</v>
      </c>
    </row>
    <row r="175">
      <c r="A175" s="0" t="s">
        <v>665</v>
      </c>
      <c r="B175" s="0" t="s">
        <v>675</v>
      </c>
      <c r="C175" s="0" t="s">
        <v>701</v>
      </c>
      <c r="D175" s="0" t="s">
        <v>702</v>
      </c>
      <c r="E175" s="0" t="s">
        <v>703</v>
      </c>
      <c r="F175" s="0">
        <f>TEXT("1576","#")</f>
      </c>
      <c r="G175" s="0">
        <v>33.92</v>
      </c>
      <c r="H175" s="0" t="s">
        <v>259</v>
      </c>
      <c r="I175" s="2"/>
      <c r="J175" s="2"/>
      <c r="K175" s="0" t="s">
        <v>359</v>
      </c>
      <c r="L175" s="0" t="s">
        <v>704</v>
      </c>
    </row>
    <row r="176">
      <c r="A176" s="0" t="s">
        <v>665</v>
      </c>
      <c r="B176" s="0" t="s">
        <v>666</v>
      </c>
      <c r="C176" s="0" t="s">
        <v>705</v>
      </c>
      <c r="D176" s="0" t="s">
        <v>50</v>
      </c>
      <c r="E176" s="0" t="s">
        <v>668</v>
      </c>
      <c r="F176" s="0">
        <f>TEXT("167957","#")</f>
      </c>
      <c r="G176" s="0">
        <v>28.95</v>
      </c>
      <c r="H176" s="0" t="s">
        <v>309</v>
      </c>
      <c r="I176" s="2"/>
      <c r="J176" s="2"/>
      <c r="L176" s="0" t="s">
        <v>455</v>
      </c>
    </row>
    <row r="177">
      <c r="A177" s="0" t="s">
        <v>665</v>
      </c>
      <c r="B177" s="0" t="s">
        <v>666</v>
      </c>
      <c r="C177" s="0" t="s">
        <v>706</v>
      </c>
      <c r="D177" s="0" t="s">
        <v>26</v>
      </c>
      <c r="E177" s="0" t="s">
        <v>291</v>
      </c>
      <c r="F177" s="0">
        <f>TEXT("186671","#")</f>
      </c>
      <c r="G177" s="0">
        <v>13.89</v>
      </c>
      <c r="H177" s="0" t="s">
        <v>309</v>
      </c>
      <c r="I177" s="2"/>
      <c r="J177" s="2"/>
      <c r="K177" s="0" t="s">
        <v>141</v>
      </c>
      <c r="L177" s="0" t="s">
        <v>707</v>
      </c>
      <c r="M177" s="0" t="s">
        <v>708</v>
      </c>
    </row>
    <row r="178">
      <c r="A178" s="0" t="s">
        <v>665</v>
      </c>
      <c r="B178" s="0" t="s">
        <v>666</v>
      </c>
      <c r="C178" s="0" t="s">
        <v>709</v>
      </c>
      <c r="D178" s="0" t="s">
        <v>50</v>
      </c>
      <c r="E178" s="0" t="s">
        <v>668</v>
      </c>
      <c r="F178" s="0">
        <f>TEXT("167959","#")</f>
      </c>
      <c r="G178" s="0">
        <v>24.22</v>
      </c>
      <c r="H178" s="0" t="s">
        <v>309</v>
      </c>
      <c r="I178" s="2"/>
      <c r="J178" s="2"/>
      <c r="K178" s="0" t="s">
        <v>710</v>
      </c>
      <c r="L178" s="0" t="s">
        <v>711</v>
      </c>
    </row>
    <row r="179">
      <c r="A179" s="0" t="s">
        <v>665</v>
      </c>
      <c r="B179" s="0" t="s">
        <v>712</v>
      </c>
      <c r="C179" s="0" t="s">
        <v>713</v>
      </c>
      <c r="D179" s="0" t="s">
        <v>517</v>
      </c>
      <c r="E179" s="0" t="s">
        <v>27</v>
      </c>
      <c r="F179" s="0">
        <f>TEXT("104621","#")</f>
      </c>
      <c r="G179" s="0">
        <v>14.4</v>
      </c>
      <c r="H179" s="0" t="s">
        <v>140</v>
      </c>
      <c r="I179" s="2"/>
      <c r="J179" s="2"/>
      <c r="K179" s="0" t="s">
        <v>353</v>
      </c>
      <c r="L179" s="0" t="s">
        <v>714</v>
      </c>
    </row>
    <row r="180">
      <c r="A180" s="0" t="s">
        <v>665</v>
      </c>
      <c r="B180" s="0" t="s">
        <v>715</v>
      </c>
      <c r="C180" s="0" t="s">
        <v>716</v>
      </c>
      <c r="D180" s="0" t="s">
        <v>144</v>
      </c>
      <c r="E180" s="0" t="s">
        <v>291</v>
      </c>
      <c r="F180" s="0">
        <f>TEXT("214805","#")</f>
      </c>
      <c r="G180" s="0">
        <v>13.33</v>
      </c>
      <c r="H180" s="0" t="s">
        <v>140</v>
      </c>
      <c r="I180" s="2"/>
      <c r="J180" s="2"/>
      <c r="K180" s="0" t="s">
        <v>700</v>
      </c>
      <c r="L180" s="0" t="s">
        <v>692</v>
      </c>
      <c r="M180" s="0" t="s">
        <v>689</v>
      </c>
    </row>
    <row r="181">
      <c r="A181" s="0" t="s">
        <v>665</v>
      </c>
      <c r="B181" s="0" t="s">
        <v>717</v>
      </c>
      <c r="C181" s="0" t="s">
        <v>718</v>
      </c>
      <c r="D181" s="0" t="s">
        <v>50</v>
      </c>
      <c r="E181" s="0" t="s">
        <v>719</v>
      </c>
      <c r="F181" s="0">
        <f>TEXT("84659","#")</f>
      </c>
      <c r="G181" s="0">
        <v>39.81</v>
      </c>
      <c r="H181" s="0" t="s">
        <v>259</v>
      </c>
      <c r="I181" s="2"/>
      <c r="J181" s="2"/>
      <c r="K181" s="0" t="s">
        <v>720</v>
      </c>
      <c r="L181" s="0" t="s">
        <v>721</v>
      </c>
      <c r="M181" s="0" t="s">
        <v>722</v>
      </c>
    </row>
    <row r="182">
      <c r="A182" s="0" t="s">
        <v>665</v>
      </c>
      <c r="B182" s="0" t="s">
        <v>723</v>
      </c>
      <c r="C182" s="0" t="s">
        <v>724</v>
      </c>
      <c r="D182" s="0" t="s">
        <v>74</v>
      </c>
      <c r="E182" s="0" t="s">
        <v>725</v>
      </c>
      <c r="F182" s="0">
        <f>TEXT("123335","#")</f>
      </c>
      <c r="G182" s="0">
        <v>22.25</v>
      </c>
      <c r="H182" s="0" t="s">
        <v>413</v>
      </c>
      <c r="I182" s="2"/>
      <c r="J182" s="2"/>
      <c r="L182" s="0" t="s">
        <v>726</v>
      </c>
    </row>
    <row r="183">
      <c r="A183" s="0" t="s">
        <v>665</v>
      </c>
      <c r="B183" s="0" t="s">
        <v>727</v>
      </c>
      <c r="C183" s="0" t="s">
        <v>728</v>
      </c>
      <c r="D183" s="0" t="s">
        <v>729</v>
      </c>
      <c r="E183" s="0" t="s">
        <v>480</v>
      </c>
      <c r="F183" s="0">
        <f>TEXT("186998","#")</f>
      </c>
      <c r="G183" s="0">
        <v>23.07</v>
      </c>
      <c r="H183" s="0" t="s">
        <v>140</v>
      </c>
      <c r="I183" s="2"/>
      <c r="J183" s="2"/>
      <c r="L183" s="0" t="s">
        <v>730</v>
      </c>
      <c r="M183" s="0" t="s">
        <v>731</v>
      </c>
      <c r="N183" s="0" t="s">
        <v>732</v>
      </c>
    </row>
    <row r="184">
      <c r="A184" s="0" t="s">
        <v>665</v>
      </c>
      <c r="B184" s="0" t="s">
        <v>723</v>
      </c>
      <c r="C184" s="0" t="s">
        <v>733</v>
      </c>
      <c r="D184" s="0" t="s">
        <v>74</v>
      </c>
      <c r="E184" s="0" t="s">
        <v>725</v>
      </c>
      <c r="F184" s="0">
        <f>TEXT("123338","#")</f>
      </c>
      <c r="G184" s="0">
        <v>22.25</v>
      </c>
      <c r="H184" s="0" t="s">
        <v>413</v>
      </c>
      <c r="I184" s="2"/>
      <c r="J184" s="2"/>
      <c r="L184" s="0" t="s">
        <v>726</v>
      </c>
    </row>
    <row r="185">
      <c r="A185" s="0" t="s">
        <v>665</v>
      </c>
      <c r="B185" s="0" t="s">
        <v>734</v>
      </c>
      <c r="C185" s="0" t="s">
        <v>735</v>
      </c>
      <c r="D185" s="0" t="s">
        <v>517</v>
      </c>
      <c r="E185" s="0" t="s">
        <v>27</v>
      </c>
      <c r="F185" s="0">
        <f>TEXT("104620","#")</f>
      </c>
      <c r="G185" s="0">
        <v>12.37</v>
      </c>
      <c r="H185" s="0" t="s">
        <v>140</v>
      </c>
      <c r="I185" s="2"/>
      <c r="J185" s="2"/>
      <c r="K185" s="0" t="s">
        <v>438</v>
      </c>
      <c r="L185" s="0" t="s">
        <v>439</v>
      </c>
    </row>
    <row r="186">
      <c r="A186" s="0" t="s">
        <v>736</v>
      </c>
      <c r="B186" s="0" t="s">
        <v>737</v>
      </c>
      <c r="C186" s="0" t="s">
        <v>738</v>
      </c>
      <c r="D186" s="0" t="s">
        <v>739</v>
      </c>
      <c r="E186" s="0" t="s">
        <v>740</v>
      </c>
      <c r="F186" s="0">
        <f>TEXT("150562","#")</f>
      </c>
      <c r="G186" s="0">
        <v>82.04</v>
      </c>
      <c r="H186" s="0" t="s">
        <v>19</v>
      </c>
      <c r="I186" s="2"/>
      <c r="J186" s="2"/>
      <c r="K186" s="0" t="s">
        <v>741</v>
      </c>
      <c r="L186" s="0" t="s">
        <v>742</v>
      </c>
    </row>
    <row r="187">
      <c r="A187" s="0" t="s">
        <v>736</v>
      </c>
      <c r="B187" s="0" t="s">
        <v>737</v>
      </c>
      <c r="C187" s="0" t="s">
        <v>743</v>
      </c>
      <c r="D187" s="0" t="s">
        <v>744</v>
      </c>
      <c r="E187" s="0" t="s">
        <v>740</v>
      </c>
      <c r="F187" s="0">
        <f>TEXT("116154","#")</f>
      </c>
      <c r="G187" s="0">
        <v>53.61</v>
      </c>
      <c r="H187" s="0" t="s">
        <v>28</v>
      </c>
      <c r="I187" s="2"/>
      <c r="J187" s="2"/>
      <c r="K187" s="0" t="s">
        <v>741</v>
      </c>
      <c r="L187" s="0" t="s">
        <v>742</v>
      </c>
    </row>
    <row r="188">
      <c r="A188" s="0" t="s">
        <v>745</v>
      </c>
      <c r="B188" s="0" t="s">
        <v>746</v>
      </c>
      <c r="C188" s="0" t="s">
        <v>747</v>
      </c>
      <c r="D188" s="0" t="s">
        <v>318</v>
      </c>
      <c r="E188" s="0" t="s">
        <v>27</v>
      </c>
      <c r="F188" s="0">
        <f>TEXT("217452","#")</f>
      </c>
      <c r="G188" s="0">
        <v>33.07</v>
      </c>
      <c r="H188" s="0" t="s">
        <v>28</v>
      </c>
      <c r="I188" s="2"/>
      <c r="J188" s="2"/>
      <c r="L188" s="0" t="s">
        <v>37</v>
      </c>
    </row>
    <row r="189">
      <c r="A189" s="0" t="s">
        <v>745</v>
      </c>
      <c r="B189" s="0" t="s">
        <v>748</v>
      </c>
      <c r="C189" s="0" t="s">
        <v>749</v>
      </c>
      <c r="D189" s="0" t="s">
        <v>50</v>
      </c>
      <c r="E189" s="0" t="s">
        <v>750</v>
      </c>
      <c r="F189" s="0">
        <f>TEXT("79894","#")</f>
      </c>
      <c r="G189" s="0">
        <v>39.2</v>
      </c>
      <c r="H189" s="0" t="s">
        <v>28</v>
      </c>
      <c r="I189" s="2"/>
      <c r="J189" s="2"/>
      <c r="K189" s="0" t="s">
        <v>279</v>
      </c>
      <c r="L189" s="0" t="s">
        <v>751</v>
      </c>
      <c r="M189" s="0" t="s">
        <v>67</v>
      </c>
    </row>
    <row r="190">
      <c r="A190" s="0" t="s">
        <v>745</v>
      </c>
      <c r="B190" s="0" t="s">
        <v>748</v>
      </c>
      <c r="C190" s="0" t="s">
        <v>752</v>
      </c>
      <c r="D190" s="0" t="s">
        <v>116</v>
      </c>
      <c r="E190" s="0" t="s">
        <v>753</v>
      </c>
      <c r="F190" s="0">
        <f>TEXT("86478","#")</f>
      </c>
      <c r="G190" s="0">
        <v>21.16</v>
      </c>
      <c r="H190" s="0" t="s">
        <v>118</v>
      </c>
      <c r="I190" s="2"/>
      <c r="J190" s="2"/>
      <c r="L190" s="0" t="s">
        <v>754</v>
      </c>
      <c r="M190" s="0" t="s">
        <v>755</v>
      </c>
    </row>
    <row r="191">
      <c r="A191" s="0" t="s">
        <v>745</v>
      </c>
      <c r="B191" s="0" t="s">
        <v>756</v>
      </c>
      <c r="C191" s="0" t="s">
        <v>757</v>
      </c>
      <c r="D191" s="0" t="s">
        <v>26</v>
      </c>
      <c r="E191" s="0" t="s">
        <v>27</v>
      </c>
      <c r="F191" s="0">
        <f>TEXT("137284","#")</f>
      </c>
      <c r="G191" s="0">
        <v>15.23</v>
      </c>
      <c r="H191" s="0" t="s">
        <v>28</v>
      </c>
      <c r="I191" s="2"/>
      <c r="J191" s="2"/>
      <c r="L191" s="0" t="s">
        <v>66</v>
      </c>
      <c r="M191" s="0" t="s">
        <v>67</v>
      </c>
    </row>
    <row r="192">
      <c r="A192" s="0" t="s">
        <v>745</v>
      </c>
      <c r="B192" s="0" t="s">
        <v>758</v>
      </c>
      <c r="C192" s="0" t="s">
        <v>759</v>
      </c>
      <c r="D192" s="0" t="s">
        <v>760</v>
      </c>
      <c r="E192" s="0" t="s">
        <v>761</v>
      </c>
      <c r="F192" s="0">
        <f>TEXT("173424","#")</f>
      </c>
      <c r="G192" s="0">
        <v>18.18</v>
      </c>
      <c r="H192" s="0" t="s">
        <v>155</v>
      </c>
      <c r="I192" s="2"/>
      <c r="J192" s="2"/>
      <c r="L192" s="0" t="s">
        <v>485</v>
      </c>
    </row>
    <row r="193">
      <c r="A193" s="0" t="s">
        <v>745</v>
      </c>
      <c r="B193" s="0" t="s">
        <v>758</v>
      </c>
      <c r="C193" s="0" t="s">
        <v>762</v>
      </c>
      <c r="D193" s="0" t="s">
        <v>26</v>
      </c>
      <c r="E193" s="0" t="s">
        <v>763</v>
      </c>
      <c r="F193" s="0">
        <f>TEXT("17380","#")</f>
      </c>
      <c r="G193" s="0">
        <v>13.47</v>
      </c>
      <c r="H193" s="0" t="s">
        <v>320</v>
      </c>
      <c r="I193" s="2"/>
      <c r="J193" s="2"/>
    </row>
    <row r="194">
      <c r="A194" s="0" t="s">
        <v>745</v>
      </c>
      <c r="B194" s="0" t="s">
        <v>758</v>
      </c>
      <c r="C194" s="0" t="s">
        <v>764</v>
      </c>
      <c r="D194" s="0" t="s">
        <v>63</v>
      </c>
      <c r="E194" s="0" t="s">
        <v>765</v>
      </c>
      <c r="F194" s="0">
        <f>TEXT("216997","#")</f>
      </c>
      <c r="G194" s="0">
        <v>24.27</v>
      </c>
      <c r="H194" s="0" t="s">
        <v>28</v>
      </c>
      <c r="I194" s="2"/>
      <c r="J194" s="2"/>
      <c r="L194" s="0" t="s">
        <v>766</v>
      </c>
      <c r="N194" s="0" t="s">
        <v>767</v>
      </c>
    </row>
    <row r="195">
      <c r="A195" s="0" t="s">
        <v>745</v>
      </c>
      <c r="B195" s="0" t="s">
        <v>758</v>
      </c>
      <c r="C195" s="0" t="s">
        <v>768</v>
      </c>
      <c r="D195" s="0" t="s">
        <v>63</v>
      </c>
      <c r="E195" s="0" t="s">
        <v>750</v>
      </c>
      <c r="F195" s="0">
        <f>TEXT("193440","#")</f>
      </c>
      <c r="G195" s="0">
        <v>27.55</v>
      </c>
      <c r="H195" s="0" t="s">
        <v>28</v>
      </c>
      <c r="I195" s="2"/>
      <c r="J195" s="2"/>
      <c r="L195" s="0" t="s">
        <v>769</v>
      </c>
      <c r="M195" s="0" t="s">
        <v>770</v>
      </c>
    </row>
    <row r="196">
      <c r="A196" s="0" t="s">
        <v>745</v>
      </c>
      <c r="B196" s="0" t="s">
        <v>748</v>
      </c>
      <c r="C196" s="0" t="s">
        <v>771</v>
      </c>
      <c r="D196" s="0" t="s">
        <v>116</v>
      </c>
      <c r="E196" s="0" t="s">
        <v>763</v>
      </c>
      <c r="F196" s="0">
        <f>TEXT("27888","#")</f>
      </c>
      <c r="G196" s="0">
        <v>27.74</v>
      </c>
      <c r="H196" s="0" t="s">
        <v>118</v>
      </c>
      <c r="I196" s="2"/>
      <c r="J196" s="2"/>
    </row>
    <row r="197">
      <c r="A197" s="0" t="s">
        <v>745</v>
      </c>
      <c r="B197" s="0" t="s">
        <v>748</v>
      </c>
      <c r="C197" s="0" t="s">
        <v>772</v>
      </c>
      <c r="D197" s="0" t="s">
        <v>26</v>
      </c>
      <c r="E197" s="0" t="s">
        <v>753</v>
      </c>
      <c r="F197" s="0">
        <f>TEXT("163480","#")</f>
      </c>
      <c r="G197" s="0">
        <v>25.04</v>
      </c>
      <c r="H197" s="0" t="s">
        <v>28</v>
      </c>
      <c r="I197" s="2"/>
      <c r="J197" s="2"/>
      <c r="K197" s="0" t="s">
        <v>279</v>
      </c>
      <c r="L197" s="0" t="s">
        <v>751</v>
      </c>
      <c r="M197" s="0" t="s">
        <v>67</v>
      </c>
    </row>
    <row r="198">
      <c r="A198" s="0" t="s">
        <v>745</v>
      </c>
      <c r="B198" s="0" t="s">
        <v>748</v>
      </c>
      <c r="C198" s="0" t="s">
        <v>773</v>
      </c>
      <c r="D198" s="0" t="s">
        <v>50</v>
      </c>
      <c r="E198" s="0" t="s">
        <v>774</v>
      </c>
      <c r="F198" s="0">
        <f>TEXT("213358","#")</f>
      </c>
      <c r="G198" s="0">
        <v>35.91</v>
      </c>
      <c r="H198" s="0" t="s">
        <v>28</v>
      </c>
      <c r="I198" s="2"/>
      <c r="J198" s="2"/>
      <c r="K198" s="0" t="s">
        <v>775</v>
      </c>
      <c r="L198" s="0" t="s">
        <v>776</v>
      </c>
    </row>
    <row r="199">
      <c r="A199" s="0" t="s">
        <v>777</v>
      </c>
      <c r="B199" s="0" t="s">
        <v>778</v>
      </c>
      <c r="C199" s="0" t="s">
        <v>779</v>
      </c>
      <c r="D199" s="0" t="s">
        <v>50</v>
      </c>
      <c r="E199" s="0" t="s">
        <v>719</v>
      </c>
      <c r="F199" s="0">
        <f>TEXT("84652","#")</f>
      </c>
      <c r="G199" s="0">
        <v>28.5</v>
      </c>
      <c r="H199" s="0" t="s">
        <v>259</v>
      </c>
      <c r="I199" s="2"/>
      <c r="J199" s="2"/>
      <c r="K199" s="0" t="s">
        <v>780</v>
      </c>
      <c r="L199" s="0" t="s">
        <v>781</v>
      </c>
      <c r="M199" s="0" t="s">
        <v>782</v>
      </c>
    </row>
    <row r="200">
      <c r="A200" s="0" t="s">
        <v>777</v>
      </c>
      <c r="B200" s="0" t="s">
        <v>778</v>
      </c>
      <c r="C200" s="0" t="s">
        <v>783</v>
      </c>
      <c r="D200" s="0" t="s">
        <v>336</v>
      </c>
      <c r="E200" s="0" t="s">
        <v>719</v>
      </c>
      <c r="F200" s="0">
        <f>TEXT("138416","#")</f>
      </c>
      <c r="G200" s="0">
        <v>77.67</v>
      </c>
      <c r="H200" s="0" t="s">
        <v>52</v>
      </c>
      <c r="I200" s="2"/>
      <c r="J200" s="2"/>
      <c r="K200" s="0" t="s">
        <v>784</v>
      </c>
      <c r="L200" s="0" t="s">
        <v>785</v>
      </c>
      <c r="M200" s="0" t="s">
        <v>786</v>
      </c>
    </row>
    <row r="201">
      <c r="A201" s="0" t="s">
        <v>777</v>
      </c>
      <c r="B201" s="0" t="s">
        <v>787</v>
      </c>
      <c r="C201" s="0" t="s">
        <v>788</v>
      </c>
      <c r="D201" s="0" t="s">
        <v>26</v>
      </c>
      <c r="E201" s="0" t="s">
        <v>480</v>
      </c>
      <c r="F201" s="0">
        <f>TEXT("159962","#")</f>
      </c>
      <c r="G201" s="0">
        <v>17.18</v>
      </c>
      <c r="H201" s="0" t="s">
        <v>320</v>
      </c>
      <c r="I201" s="2"/>
      <c r="J201" s="2"/>
      <c r="K201" s="0" t="s">
        <v>71</v>
      </c>
      <c r="L201" s="0" t="s">
        <v>789</v>
      </c>
      <c r="M201" s="0" t="s">
        <v>790</v>
      </c>
      <c r="N201" s="0" t="s">
        <v>698</v>
      </c>
    </row>
    <row r="202">
      <c r="A202" s="0" t="s">
        <v>791</v>
      </c>
      <c r="B202" s="0" t="s">
        <v>792</v>
      </c>
      <c r="C202" s="0" t="s">
        <v>793</v>
      </c>
      <c r="D202" s="0" t="s">
        <v>794</v>
      </c>
      <c r="E202" s="0" t="s">
        <v>795</v>
      </c>
      <c r="F202" s="0">
        <f>TEXT("217364","#")</f>
      </c>
      <c r="G202" s="0">
        <v>34.97</v>
      </c>
      <c r="H202" s="0" t="s">
        <v>140</v>
      </c>
      <c r="I202" s="2"/>
      <c r="J202" s="2"/>
    </row>
    <row r="203">
      <c r="A203" s="0" t="s">
        <v>796</v>
      </c>
      <c r="B203" s="0" t="s">
        <v>797</v>
      </c>
      <c r="C203" s="0" t="s">
        <v>798</v>
      </c>
      <c r="D203" s="0" t="s">
        <v>74</v>
      </c>
      <c r="E203" s="0" t="s">
        <v>799</v>
      </c>
      <c r="F203" s="0">
        <f>TEXT("24","#")</f>
      </c>
      <c r="G203" s="0">
        <v>25.84</v>
      </c>
      <c r="H203" s="0" t="s">
        <v>140</v>
      </c>
      <c r="I203" s="2"/>
      <c r="J203" s="2"/>
      <c r="L203" s="0" t="s">
        <v>37</v>
      </c>
    </row>
    <row r="204">
      <c r="A204" s="0" t="s">
        <v>796</v>
      </c>
      <c r="B204" s="0" t="s">
        <v>800</v>
      </c>
      <c r="C204" s="0" t="s">
        <v>801</v>
      </c>
      <c r="D204" s="0" t="s">
        <v>26</v>
      </c>
      <c r="E204" s="0" t="s">
        <v>802</v>
      </c>
      <c r="F204" s="0">
        <f>TEXT("115181","#")</f>
      </c>
      <c r="G204" s="0">
        <v>16.94</v>
      </c>
      <c r="H204" s="0" t="s">
        <v>432</v>
      </c>
      <c r="I204" s="2"/>
      <c r="J204" s="2"/>
      <c r="K204" s="0" t="s">
        <v>803</v>
      </c>
      <c r="L204" s="0" t="s">
        <v>804</v>
      </c>
      <c r="M204" s="0" t="s">
        <v>805</v>
      </c>
      <c r="N204" s="0" t="s">
        <v>202</v>
      </c>
    </row>
    <row r="205">
      <c r="A205" s="0" t="s">
        <v>806</v>
      </c>
      <c r="B205" s="0" t="s">
        <v>807</v>
      </c>
      <c r="C205" s="0" t="s">
        <v>808</v>
      </c>
      <c r="D205" s="0" t="s">
        <v>26</v>
      </c>
      <c r="E205" s="0" t="s">
        <v>809</v>
      </c>
      <c r="F205" s="0">
        <f>TEXT("201279","#")</f>
      </c>
      <c r="G205" s="0">
        <v>141</v>
      </c>
      <c r="H205" s="0" t="s">
        <v>19</v>
      </c>
      <c r="I205" s="2"/>
      <c r="J205" s="2"/>
      <c r="K205" s="0" t="s">
        <v>527</v>
      </c>
      <c r="L205" s="0" t="s">
        <v>810</v>
      </c>
      <c r="M205" s="0" t="s">
        <v>645</v>
      </c>
    </row>
    <row r="206">
      <c r="A206" s="0" t="s">
        <v>806</v>
      </c>
      <c r="B206" s="0" t="s">
        <v>807</v>
      </c>
      <c r="C206" s="0" t="s">
        <v>811</v>
      </c>
      <c r="D206" s="0" t="s">
        <v>26</v>
      </c>
      <c r="E206" s="0" t="s">
        <v>809</v>
      </c>
      <c r="F206" s="0">
        <f>TEXT("147730","#")</f>
      </c>
      <c r="G206" s="0">
        <v>53.15</v>
      </c>
      <c r="H206" s="0" t="s">
        <v>19</v>
      </c>
      <c r="I206" s="2"/>
      <c r="J206" s="2"/>
      <c r="K206" s="0" t="s">
        <v>527</v>
      </c>
      <c r="L206" s="0" t="s">
        <v>812</v>
      </c>
      <c r="N206" s="0" t="s">
        <v>813</v>
      </c>
    </row>
    <row r="207">
      <c r="A207" s="0" t="s">
        <v>814</v>
      </c>
      <c r="B207" s="0" t="s">
        <v>815</v>
      </c>
      <c r="C207" s="0" t="s">
        <v>816</v>
      </c>
      <c r="D207" s="0" t="s">
        <v>26</v>
      </c>
      <c r="E207" s="0" t="s">
        <v>809</v>
      </c>
      <c r="F207" s="0">
        <f>TEXT("189934","#")</f>
      </c>
      <c r="G207" s="0">
        <v>17.99</v>
      </c>
      <c r="H207" s="0" t="s">
        <v>28</v>
      </c>
      <c r="I207" s="2"/>
      <c r="J207" s="2"/>
      <c r="K207" s="0" t="s">
        <v>817</v>
      </c>
      <c r="L207" s="0" t="s">
        <v>818</v>
      </c>
      <c r="N207" s="0" t="s">
        <v>819</v>
      </c>
    </row>
    <row r="208">
      <c r="A208" s="0" t="s">
        <v>820</v>
      </c>
      <c r="B208" s="0" t="s">
        <v>821</v>
      </c>
      <c r="C208" s="0" t="s">
        <v>822</v>
      </c>
      <c r="D208" s="0" t="s">
        <v>458</v>
      </c>
      <c r="E208" s="0" t="s">
        <v>600</v>
      </c>
      <c r="F208" s="0">
        <f>TEXT("162609","#")</f>
      </c>
      <c r="G208" s="0">
        <v>16.55</v>
      </c>
      <c r="H208" s="0" t="s">
        <v>432</v>
      </c>
      <c r="I208" s="2"/>
      <c r="J208" s="2"/>
      <c r="L208" s="0" t="s">
        <v>511</v>
      </c>
    </row>
    <row r="209">
      <c r="A209" s="0" t="s">
        <v>820</v>
      </c>
      <c r="B209" s="0" t="s">
        <v>823</v>
      </c>
      <c r="C209" s="0" t="s">
        <v>824</v>
      </c>
      <c r="D209" s="0" t="s">
        <v>50</v>
      </c>
      <c r="E209" s="0" t="s">
        <v>600</v>
      </c>
      <c r="F209" s="0">
        <f>TEXT("171633","#")</f>
      </c>
      <c r="G209" s="0">
        <v>34.29</v>
      </c>
      <c r="H209" s="0" t="s">
        <v>309</v>
      </c>
      <c r="I209" s="2"/>
      <c r="J209" s="2"/>
      <c r="L209" s="0" t="s">
        <v>825</v>
      </c>
    </row>
    <row r="210">
      <c r="A210" s="0" t="s">
        <v>820</v>
      </c>
      <c r="B210" s="0" t="s">
        <v>826</v>
      </c>
      <c r="C210" s="0" t="s">
        <v>827</v>
      </c>
      <c r="D210" s="0" t="s">
        <v>828</v>
      </c>
      <c r="E210" s="0" t="s">
        <v>829</v>
      </c>
      <c r="F210" s="0">
        <f>TEXT("221345","#")</f>
      </c>
      <c r="G210" s="0">
        <v>95.66</v>
      </c>
      <c r="H210" s="0" t="s">
        <v>19</v>
      </c>
      <c r="I210" s="2"/>
      <c r="J210" s="2"/>
      <c r="L210" s="0" t="s">
        <v>37</v>
      </c>
    </row>
    <row r="211">
      <c r="A211" s="0" t="s">
        <v>820</v>
      </c>
      <c r="B211" s="0" t="s">
        <v>823</v>
      </c>
      <c r="C211" s="0" t="s">
        <v>830</v>
      </c>
      <c r="D211" s="0" t="s">
        <v>831</v>
      </c>
      <c r="E211" s="0" t="s">
        <v>600</v>
      </c>
      <c r="F211" s="0">
        <f>TEXT("162607","#")</f>
      </c>
      <c r="G211" s="0">
        <v>33.7</v>
      </c>
      <c r="H211" s="0" t="s">
        <v>432</v>
      </c>
      <c r="I211" s="2"/>
      <c r="J211" s="2"/>
      <c r="L211" s="0" t="s">
        <v>832</v>
      </c>
    </row>
    <row r="212">
      <c r="A212" s="0" t="s">
        <v>820</v>
      </c>
      <c r="B212" s="0" t="s">
        <v>833</v>
      </c>
      <c r="C212" s="0" t="s">
        <v>834</v>
      </c>
      <c r="D212" s="0" t="s">
        <v>50</v>
      </c>
      <c r="E212" s="0" t="s">
        <v>266</v>
      </c>
      <c r="F212" s="0">
        <f>TEXT("168865","#")</f>
      </c>
      <c r="G212" s="0">
        <v>21.16</v>
      </c>
      <c r="H212" s="0" t="s">
        <v>432</v>
      </c>
      <c r="I212" s="2"/>
      <c r="J212" s="2"/>
      <c r="L212" s="0" t="s">
        <v>835</v>
      </c>
      <c r="N212" s="0" t="s">
        <v>836</v>
      </c>
    </row>
    <row r="213">
      <c r="A213" s="0" t="s">
        <v>820</v>
      </c>
      <c r="B213" s="0" t="s">
        <v>833</v>
      </c>
      <c r="C213" s="0" t="s">
        <v>837</v>
      </c>
      <c r="D213" s="0" t="s">
        <v>34</v>
      </c>
      <c r="E213" s="0" t="s">
        <v>448</v>
      </c>
      <c r="F213" s="0">
        <f>TEXT("58573","#")</f>
      </c>
      <c r="G213" s="0">
        <v>93.25</v>
      </c>
      <c r="H213" s="0" t="s">
        <v>259</v>
      </c>
      <c r="I213" s="2"/>
      <c r="J213" s="2"/>
      <c r="L213" s="0" t="s">
        <v>838</v>
      </c>
    </row>
    <row r="214">
      <c r="A214" s="0" t="s">
        <v>820</v>
      </c>
      <c r="B214" s="0" t="s">
        <v>826</v>
      </c>
      <c r="C214" s="0" t="s">
        <v>839</v>
      </c>
      <c r="D214" s="0" t="s">
        <v>50</v>
      </c>
      <c r="E214" s="0" t="s">
        <v>840</v>
      </c>
      <c r="F214" s="0">
        <f>TEXT("1757","#")</f>
      </c>
      <c r="G214" s="0">
        <v>14.37</v>
      </c>
      <c r="H214" s="0" t="s">
        <v>28</v>
      </c>
      <c r="I214" s="2"/>
      <c r="J214" s="2"/>
      <c r="L214" s="0" t="s">
        <v>122</v>
      </c>
    </row>
    <row r="215">
      <c r="A215" s="0" t="s">
        <v>820</v>
      </c>
      <c r="B215" s="0" t="s">
        <v>826</v>
      </c>
      <c r="C215" s="0" t="s">
        <v>841</v>
      </c>
      <c r="D215" s="0" t="s">
        <v>318</v>
      </c>
      <c r="E215" s="0" t="s">
        <v>842</v>
      </c>
      <c r="F215" s="0">
        <f>TEXT("141358","#")</f>
      </c>
      <c r="G215" s="0">
        <v>13.31</v>
      </c>
      <c r="H215" s="0" t="s">
        <v>28</v>
      </c>
      <c r="I215" s="2"/>
      <c r="J215" s="2"/>
      <c r="L215" s="0" t="s">
        <v>843</v>
      </c>
      <c r="N215" s="0" t="s">
        <v>844</v>
      </c>
    </row>
    <row r="216">
      <c r="A216" s="0" t="s">
        <v>820</v>
      </c>
      <c r="B216" s="0" t="s">
        <v>823</v>
      </c>
      <c r="C216" s="0" t="s">
        <v>845</v>
      </c>
      <c r="D216" s="0" t="s">
        <v>846</v>
      </c>
      <c r="E216" s="0" t="s">
        <v>600</v>
      </c>
      <c r="F216" s="0">
        <f>TEXT("159917","#")</f>
      </c>
      <c r="G216" s="0">
        <v>71.91</v>
      </c>
      <c r="H216" s="0" t="s">
        <v>19</v>
      </c>
      <c r="I216" s="2"/>
      <c r="J216" s="2"/>
      <c r="L216" s="0" t="s">
        <v>485</v>
      </c>
    </row>
    <row r="217">
      <c r="A217" s="0" t="s">
        <v>820</v>
      </c>
      <c r="B217" s="0" t="s">
        <v>823</v>
      </c>
      <c r="C217" s="0" t="s">
        <v>847</v>
      </c>
      <c r="D217" s="0" t="s">
        <v>848</v>
      </c>
      <c r="E217" s="0" t="s">
        <v>448</v>
      </c>
      <c r="F217" s="0">
        <f>TEXT("76927","#")</f>
      </c>
      <c r="G217" s="0">
        <v>69.81</v>
      </c>
      <c r="H217" s="0" t="s">
        <v>19</v>
      </c>
      <c r="I217" s="2"/>
      <c r="J217" s="2"/>
      <c r="L217" s="0" t="s">
        <v>47</v>
      </c>
    </row>
    <row r="218">
      <c r="A218" s="0" t="s">
        <v>820</v>
      </c>
      <c r="B218" s="0" t="s">
        <v>823</v>
      </c>
      <c r="C218" s="0" t="s">
        <v>849</v>
      </c>
      <c r="D218" s="0" t="s">
        <v>50</v>
      </c>
      <c r="E218" s="0" t="s">
        <v>600</v>
      </c>
      <c r="F218" s="0">
        <f>TEXT("171631","#")</f>
      </c>
      <c r="G218" s="0">
        <v>30.61</v>
      </c>
      <c r="H218" s="0" t="s">
        <v>309</v>
      </c>
      <c r="I218" s="2"/>
      <c r="J218" s="2"/>
      <c r="L218" s="0" t="s">
        <v>850</v>
      </c>
      <c r="M218" s="0" t="s">
        <v>851</v>
      </c>
    </row>
    <row r="219">
      <c r="A219" s="0" t="s">
        <v>820</v>
      </c>
      <c r="B219" s="0" t="s">
        <v>852</v>
      </c>
      <c r="C219" s="0" t="s">
        <v>853</v>
      </c>
      <c r="D219" s="0" t="s">
        <v>854</v>
      </c>
      <c r="E219" s="0" t="s">
        <v>27</v>
      </c>
      <c r="F219" s="0">
        <f>TEXT("58221","#")</f>
      </c>
      <c r="G219" s="0">
        <v>12.43</v>
      </c>
      <c r="H219" s="0" t="s">
        <v>413</v>
      </c>
      <c r="I219" s="2"/>
      <c r="J219" s="2"/>
      <c r="L219" s="0" t="s">
        <v>631</v>
      </c>
    </row>
    <row r="220">
      <c r="A220" s="0" t="s">
        <v>820</v>
      </c>
      <c r="B220" s="0" t="s">
        <v>823</v>
      </c>
      <c r="C220" s="0" t="s">
        <v>855</v>
      </c>
      <c r="D220" s="0" t="s">
        <v>50</v>
      </c>
      <c r="E220" s="0" t="s">
        <v>600</v>
      </c>
      <c r="F220" s="0">
        <f>TEXT("159919","#")</f>
      </c>
      <c r="G220" s="0">
        <v>27.45</v>
      </c>
      <c r="H220" s="0" t="s">
        <v>432</v>
      </c>
      <c r="I220" s="2"/>
      <c r="J220" s="2"/>
      <c r="L220" s="0" t="s">
        <v>47</v>
      </c>
    </row>
    <row r="221">
      <c r="A221" s="0" t="s">
        <v>820</v>
      </c>
      <c r="B221" s="0" t="s">
        <v>823</v>
      </c>
      <c r="C221" s="0" t="s">
        <v>856</v>
      </c>
      <c r="D221" s="0" t="s">
        <v>50</v>
      </c>
      <c r="E221" s="0" t="s">
        <v>600</v>
      </c>
      <c r="F221" s="0">
        <f>TEXT("159920","#")</f>
      </c>
      <c r="G221" s="0">
        <v>27.45</v>
      </c>
      <c r="H221" s="0" t="s">
        <v>432</v>
      </c>
      <c r="I221" s="2"/>
      <c r="J221" s="2"/>
      <c r="K221" s="0" t="s">
        <v>141</v>
      </c>
      <c r="L221" s="0" t="s">
        <v>857</v>
      </c>
      <c r="N221" s="0" t="s">
        <v>813</v>
      </c>
    </row>
    <row r="222">
      <c r="A222" s="0" t="s">
        <v>858</v>
      </c>
      <c r="B222" s="0" t="s">
        <v>859</v>
      </c>
      <c r="C222" s="0" t="s">
        <v>860</v>
      </c>
      <c r="D222" s="0" t="s">
        <v>861</v>
      </c>
      <c r="E222" s="0" t="s">
        <v>862</v>
      </c>
      <c r="F222" s="0">
        <f>TEXT("93576","#")</f>
      </c>
      <c r="G222" s="0">
        <v>3.03</v>
      </c>
      <c r="H222" s="0" t="s">
        <v>140</v>
      </c>
      <c r="I222" s="2"/>
      <c r="J222" s="2"/>
      <c r="L222" s="0" t="s">
        <v>485</v>
      </c>
    </row>
  </sheetData>
  <headerFooter/>
</worksheet>
</file>

<file path=docProps/app.xml><?xml version="1.0" encoding="utf-8"?>
<Properties xmlns:vt="http://schemas.openxmlformats.org/officeDocument/2006/docPropsVTypes" xmlns="http://schemas.openxmlformats.org/officeDocument/2006/extended-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OrderForm</dc:title>
</cp:coreProperties>
</file>

<file path=docProps/custom.xml><?xml version="1.0" encoding="utf-8"?>
<Properties xmlns:vt="http://schemas.openxmlformats.org/officeDocument/2006/docPropsVTypes" xmlns="http://schemas.openxmlformats.org/officeDocument/2006/custom-properties"/>
</file>